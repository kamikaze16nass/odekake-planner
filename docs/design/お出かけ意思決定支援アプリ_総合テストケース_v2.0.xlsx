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c7161c249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総合テストケース" sheetId="1" r:id="R534e7719d6254885"/>
    <x:sheet xmlns:r="http://schemas.openxmlformats.org/officeDocument/2006/relationships" name="不具合管理" sheetId="2" r:id="R1fcca663e3324070"/>
    <x:sheet xmlns:r="http://schemas.openxmlformats.org/officeDocument/2006/relationships" name="実施ガイド" sheetId="3" r:id="R566882bf092b4d61"/>
    <x:sheet xmlns:r="http://schemas.openxmlformats.org/officeDocument/2006/relationships" name="テストサマリー" sheetId="4" r:id="R8ccb7041afdb439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<x:sst xmlns:x="http://schemas.openxmlformats.org/spreadsheetml/2006/main">
  <x:si>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</x:si>
  <x:si>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分類</x:t>
  </x:si>
  <x:si>
    <x:t xml:space="preserve">テストケース</x:t>
  </x:si>
  <x:si>
    <x:t xml:space="preserve">前提条件</x:t>
  </x:si>
  <x:si>
    <x:t xml:space="preserve">操作手順</x:t>
  </x:si>
  <x:si>
    <x:t xml:space="preserve">期待結果</x:t>
  </x:si>
  <x:si>
    <x:t xml:space="preserve">実施タイミング</x:t>
  </x:si>
  <x:si>
    <x:t xml:space="preserve">優先度</x:t>
  </x:si>
  <x:si>
    <x:t xml:space="preserve">結果</x:t>
  </x:si>
  <x:si>
    <x:t xml:space="preserve">備考</x:t>
  </x:si>
  <x:si>
    <x:t xml:space="preserve">発生工程</x:t>
  </x:si>
  <x:si>
    <x:t xml:space="preserve">現象</x:t>
  </x:si>
  <x:si>
    <x:t xml:space="preserve">原因</x:t>
  </x:si>
  <x:si>
    <x:t xml:space="preserve">修正対応内容</x:t>
  </x:si>
  <x:si>
    <x:t xml:space="preserve">状態</x:t>
  </x:si>
  <x:si>
    <x:t xml:space="preserve">BUG0827-001</x:t>
  </x:si>
  <x:si>
    <x:t xml:space="preserve">本番スモークテスト</x:t>
  </x:si>
  <x:si>
    <x:t xml:space="preserve">予定作成時に403となり回答画面へ遷移できない</x:t>
  </x:si>
  <x:si>
    <x:t xml:space="preserve">予定が正常に登録され、回答画面に遷移すること</x:t>
  </x:si>
  <x:si>
    <x:t xml:space="preserve">予定作成直後は作成者のmembers登録前であるため、schedules INSERT後の .select().single() が「memberのみSELECT可」のRLSにより403となっていた。schedulesのSELECTポリシーを「member または created_by = auth.uid()::text の予定作成者本人」に変更。これにより作成直後でも本人が予定IDを取得でき、その後のmembers登録・回答画面遷移が正常化した。無関係なユーザーへの閲覧権限は追加していない。</x:t>
  </x:si>
  <x:si>
    <x:t xml:space="preserve">解消</x:t>
  </x:si>
</x:sst>
</file>

<file path=xl/styles.xml><?xml version="1.0" encoding="utf-8"?>
<x:styleSheet xmlns:x="http://schemas.openxmlformats.org/spreadsheetml/2006/main">
  <x:fonts count="10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1"/>
      <x:color theme="1"/>
      <x:name val="Carlito"/>
    </x:font>
    <x:font>
      <x:sz val="11"/>
      <x:color rgb="FF000000"/>
      <x:name val="Carlito"/>
    </x:font>
    <x:font>
      <x:b/>
      <x:sz val="11"/>
      <x:color rgb="FF145A57"/>
      <x:name val="Carlito"/>
    </x:font>
    <x:font>
      <x:b/>
      <x:sz val="11"/>
      <x:color rgb="FF22313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lightGray"/>
    </x:fill>
    <x:fill>
      <x:patternFill patternType="solid">
        <x:fgColor rgb="FF237C78"/>
      </x:patternFill>
    </x:fill>
    <x:fill>
      <x:patternFill patternType="solid">
        <x:fgColor rgb="FFE7F5F3"/>
      </x:patternFill>
    </x:fill>
    <x:fill>
      <x:patternFill patternType="solid">
        <x:fgColor rgb="FF237C78"/>
      </x:patternFill>
    </x:fill>
    <x:fill>
      <x:patternFill patternType="solid">
        <x:fgColor rgb="FF1F7A74"/>
      </x:patternFill>
    </x:fill>
    <x:fill>
      <x:patternFill patternType="solid">
        <x:fgColor rgb="FFE8F5F3"/>
      </x:patternFill>
    </x:fill>
  </x:fills>
  <x:borders count="1">
    <x:border/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 wrapText="1"/>
    </x:xf>
    <x:xf numFmtId="0" fontId="2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top" wrapText="1"/>
    </x:xf>
    <x:xf numFmtId="0" fontId="1" fillId="2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horizontal="center" vertical="bottom" wrapText="0"/>
    </x:xf>
    <x:xf numFmtId="0" fontId="2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bottom" wrapText="1"/>
    </x:xf>
    <x:xf numFmtId="0" fontId="0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horizontal="center" vertical="bottom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vertical="bottom" wrapText="0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vertical="bottom" wrapText="0"/>
    </x:xf>
    <x:xf numFmtId="0" fontId="1" fillId="5" borderId="0" xfId="0" applyNumberFormat="1" applyFont="1" applyFill="1" applyBorder="1" applyAlignment="1">
      <x:alignment vertical="bottom" wrapText="0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vertical="bottom" wrapText="1"/>
    </x:xf>
    <x:xf numFmtId="0" fontId="2" fillId="5" borderId="0" xfId="0" applyNumberFormat="1" applyFont="1" applyFill="1" applyBorder="1" applyAlignment="1">
      <x:alignment horizontal="center" vertical="center" wrapText="0"/>
    </x:xf>
    <x:xf numFmtId="0" fontId="7" fillId="5" borderId="0" xfId="0" applyNumberFormat="1" applyFont="1" applyFill="1" applyBorder="1" applyAlignment="1">
      <x:alignment vertical="bottom" wrapText="1"/>
    </x:xf>
    <x:xf numFmtId="0" fontId="1" fillId="6" borderId="0" xfId="0" applyNumberFormat="1" applyFont="1" applyFill="1" applyBorder="1" applyAlignment="1">
      <x:alignment vertical="bottom" wrapText="0"/>
    </x:xf>
    <x:xf numFmtId="0" fontId="8" fillId="6" borderId="0" xfId="0" applyNumberFormat="1" applyFont="1" applyFill="1" applyBorder="1" applyAlignment="1">
      <x:alignment vertical="bottom" wrapText="0"/>
    </x:xf>
    <x:xf numFmtId="0" fontId="9" fillId="5" borderId="0" xfId="0" applyNumberFormat="1" applyFont="1" applyFill="1" applyBorder="1" applyAlignment="1">
      <x:alignment horizontal="center" vertical="center" wrapText="0"/>
    </x:xf>
    <x:xf numFmtId="0" fontId="9" fillId="5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16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DDF4E7"/>
        </x:patternFill>
      </x:fill>
      <x:border/>
    </x:dxf>
    <x:dxf>
      <x:fill>
        <x:patternFill>
          <x:bgColor rgb="FFFCE2E2"/>
        </x:patternFill>
      </x:fill>
      <x:border/>
    </x:dxf>
    <x:dxf>
      <x:fill>
        <x:patternFill>
          <x:bgColor rgb="FFFFF2CC"/>
        </x:patternFill>
      </x:fill>
      <x:border/>
    </x:dxf>
    <x:dxf>
      <x:fill>
        <x:patternFill>
          <x:bgColor rgb="FFDDF4E7"/>
        </x:patternFill>
      </x:fill>
    </x:dxf>
    <x:dxf>
      <x:fill>
        <x:patternFill>
          <x:bgColor rgb="FFFCE2E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EEEE"/>
        </x:patternFill>
      </x:fill>
    </x:dxf>
    <x:dxf>
      <x:font>
        <x:color rgb="FF246B45"/>
      </x:font>
      <x:fill>
        <x:patternFill patternType="solid">
          <x:bgColor rgb="FFE7F5EC"/>
        </x:patternFill>
      </x:fill>
    </x:dxf>
    <x:dxf>
      <x:font>
        <x:color rgb="FFA33A3A"/>
      </x:font>
      <x:fill>
        <x:patternFill patternType="solid">
          <x:bgColor rgb="FFFDECEC"/>
        </x:patternFill>
      </x:fill>
    </x:dxf>
    <x:dxf>
      <x:font>
        <x:color rgb="FF8A651C"/>
      </x:font>
      <x:fill>
        <x:patternFill patternType="solid">
          <x:bgColor rgb="FFFFF5D8"/>
        </x:patternFill>
      </x:fill>
    </x:dxf>
    <x:dxf>
      <x:font>
        <x:color rgb="FF5F6B75"/>
      </x:font>
      <x:fill>
        <x:patternFill patternType="solid">
          <x:bgColor rgb="FFEEF2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6bc91fc614052" /><Relationship Type="http://schemas.openxmlformats.org/officeDocument/2006/relationships/theme" Target="/xl/theme/theme1.xml" Id="Ra1110fff3d904dbc" /><Relationship Type="http://schemas.openxmlformats.org/officeDocument/2006/relationships/sharedStrings" Target="/xl/sharedStrings.xml" Id="R2f49f0ae04ea4e6b" /><Relationship Type="http://schemas.openxmlformats.org/officeDocument/2006/relationships/worksheet" Target="/xl/worksheets/sheet1.xml" Id="R534e7719d6254885" /><Relationship Type="http://schemas.openxmlformats.org/officeDocument/2006/relationships/worksheet" Target="/xl/worksheets/sheet2.xml" Id="R1fcca663e3324070" /><Relationship Type="http://schemas.openxmlformats.org/officeDocument/2006/relationships/worksheet" Target="/xl/worksheets/sheet3.xml" Id="R566882bf092b4d61" /><Relationship Type="http://schemas.openxmlformats.org/officeDocument/2006/relationships/worksheet" Target="/xl/worksheets/sheet4.xml" Id="R8ccb7041afdb439c" /></Relationships>
</file>

<file path=xl/tables/table1.xml><?xml version="1.0" encoding="utf-8"?>
<x:table xmlns:x="http://schemas.openxmlformats.org/spreadsheetml/2006/main" id="1" name="表_1" displayName="表_1" ref="A1:J54">
  <x:tableColumns count="10">
    <x:tableColumn id="1" name="ID"/>
    <x:tableColumn id="2" name="分類"/>
    <x:tableColumn id="3" name="テストケース"/>
    <x:tableColumn id="4" name="前提条件"/>
    <x:tableColumn id="5" name="操作手順"/>
    <x:tableColumn id="6" name="期待結果"/>
    <x:tableColumn id="7" name="実施タイミング"/>
    <x:tableColumn id="8" name="優先度"/>
    <x:tableColumn id="9" name="結果"/>
    <x:tableColumn id="10" name="備考"/>
  </x:tableColumns>
  <x:tableStyleInfo name="総合テストケース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0635492594c56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0" hidden="0" customWidth="1"/>
    <x:col min="2" max="2" width="13" hidden="0" customWidth="1"/>
    <x:col min="3" max="3" width="30" hidden="0" customWidth="1"/>
    <x:col min="4" max="4" width="28" hidden="0" customWidth="1"/>
    <x:col min="5" max="5" width="35" hidden="0" customWidth="1"/>
    <x:col min="6" max="6" width="42" hidden="0" customWidth="1"/>
    <x:col min="7" max="7" width="22" hidden="0" customWidth="1"/>
    <x:col min="8" max="9" width="12.380000114440918" customWidth="1"/>
    <x:col min="10" max="10" width="34" hidden="0" customWidth="1"/>
    <x:col min="11" max="26" width="8.630000114440918" customWidth="1"/>
    <x:col min="8" max="8" width="10" hidden="0" customWidth="1"/>
    <x:col min="9" max="9" width="12" hidden="0" customWidth="1"/>
  </x:cols>
  <x:sheetData>
    <x:row r="1" ht="22.5" customHeight="1">
      <x:c r="A1" s="42" t="s">
        <x:v>0</x:v>
      </x:c>
      <x:c r="B1" s="42" t="s">
        <x:v>1</x:v>
      </x:c>
      <x:c r="C1" s="42" t="s">
        <x:v>2</x:v>
      </x:c>
      <x:c r="D1" s="42" t="s">
        <x:v>3</x:v>
      </x:c>
      <x:c r="E1" s="42" t="s">
        <x:v>4</x:v>
      </x:c>
      <x:c r="F1" s="42" t="s">
        <x:v>5</x:v>
      </x:c>
      <x:c r="G1" s="42" t="s">
        <x:v>6</x:v>
      </x:c>
      <x:c r="H1" s="42" t="s">
        <x:v>7</x:v>
      </x:c>
      <x:c r="I1" s="42" t="s">
        <x:v>8</x:v>
      </x:c>
      <x:c r="J1" s="42" t="s">
        <x:v>9</x:v>
      </x:c>
    </x:row>
    <x:row r="2" ht="22.5" customHeight="1">
      <x:c r="A2" s="39" t="str">
        <x:v>TC-001</x:v>
      </x:c>
      <x:c r="B2" s="39" t="str">
        <x:v>初回利用</x:v>
      </x:c>
      <x:c r="C2" s="39" t="str">
        <x:v>初回起動で表示名設定が表示される</x:v>
      </x:c>
      <x:c r="D2" s="39" t="str">
        <x:v>localStorageにdisplayNameがない</x:v>
      </x:c>
      <x:c r="E2" s="39" t="str">
        <x:v>アプリを起動する</x:v>
      </x:c>
      <x:c r="F2" s="39" t="str">
        <x:v>表示名の初回設定UIが表示される</x:v>
      </x:c>
      <x:c r="G2" s="39" t="str">
        <x:v>デプロイ前</x:v>
      </x:c>
      <x:c r="H2" s="43" t="str">
        <x:v>高</x:v>
      </x:c>
      <x:c r="I2" s="44" t="str">
        <x:v>OK</x:v>
      </x:c>
      <x:c r="J2" s="39" t="str"/>
    </x:row>
    <x:row r="3" ht="22.5" customHeight="1">
      <x:c r="A3" s="39" t="str">
        <x:v>TC-002</x:v>
      </x:c>
      <x:c r="B3" s="39" t="str">
        <x:v>初回利用</x:v>
      </x:c>
      <x:c r="C3" s="39" t="str">
        <x:v>表示名を保存できる</x:v>
      </x:c>
      <x:c r="D3" s="39" t="str">
        <x:v>初回設定UI表示中</x:v>
      </x:c>
      <x:c r="E3" s="39" t="str">
        <x:v>有効な名前を入力し保存する</x:v>
      </x:c>
      <x:c r="F3" s="39" t="str">
        <x:v>名前が保存され通常ホームへ切り替わる</x:v>
      </x:c>
      <x:c r="G3" s="39" t="str">
        <x:v>デプロイ前</x:v>
      </x:c>
      <x:c r="H3" s="43" t="str">
        <x:v>高</x:v>
      </x:c>
      <x:c r="I3" s="44" t="str">
        <x:v>OK</x:v>
      </x:c>
      <x:c r="J3" s="39" t="str"/>
    </x:row>
    <x:row r="4" ht="22.5" customHeight="1">
      <x:c r="A4" s="39" t="str">
        <x:v>TC-003</x:v>
      </x:c>
      <x:c r="B4" s="39" t="str">
        <x:v>初回利用</x:v>
      </x:c>
      <x:c r="C4" s="39" t="str">
        <x:v>表示名設定は再表示されない</x:v>
      </x:c>
      <x:c r="D4" s="39" t="str">
        <x:v>表示名保存済み</x:v>
      </x:c>
      <x:c r="E4" s="39" t="str">
        <x:v>ページを再読み込みする</x:v>
      </x:c>
      <x:c r="F4" s="39" t="str">
        <x:v>初回設定UIが再表示されない</x:v>
      </x:c>
      <x:c r="G4" s="39" t="str">
        <x:v>デプロイ前</x:v>
      </x:c>
      <x:c r="H4" s="43" t="str">
        <x:v>高</x:v>
      </x:c>
      <x:c r="I4" s="43" t="str">
        <x:v>OK</x:v>
      </x:c>
      <x:c r="J4" s="39" t="str"/>
    </x:row>
    <x:row r="5" ht="22.5" customHeight="1">
      <x:c r="A5" s="39" t="str">
        <x:v>TC-004</x:v>
      </x:c>
      <x:c r="B5" s="39" t="str">
        <x:v>初回利用</x:v>
      </x:c>
      <x:c r="C5" s="39" t="str">
        <x:v>空の表示名を登録できない</x:v>
      </x:c>
      <x:c r="D5" s="39" t="str">
        <x:v>初回設定UI表示中</x:v>
      </x:c>
      <x:c r="E5" s="39" t="str">
        <x:v>空欄または空白のみで保存する</x:v>
      </x:c>
      <x:c r="F5" s="39" t="str">
        <x:v>登録されず初回設定画面に留まる</x:v>
      </x:c>
      <x:c r="G5" s="39" t="str">
        <x:v>デプロイ前</x:v>
      </x:c>
      <x:c r="H5" s="43" t="str">
        <x:v>中</x:v>
      </x:c>
      <x:c r="I5" s="44" t="str">
        <x:v>OK</x:v>
      </x:c>
      <x:c r="J5" s="39" t="str"/>
    </x:row>
    <x:row r="6" ht="22.5" customHeight="1">
      <x:c r="A6" s="39" t="str">
        <x:v>TC-005</x:v>
      </x:c>
      <x:c r="B6" s="39" t="str">
        <x:v>予定作成</x:v>
      </x:c>
      <x:c r="C6" s="39" t="str">
        <x:v>予定を正常に作成できる</x:v>
      </x:c>
      <x:c r="D6" s="39" t="str">
        <x:v>認証・表示名設定済み</x:v>
      </x:c>
      <x:c r="E6" s="39" t="str">
        <x:v>予定名・期間・移動方針を入力して作成</x:v>
      </x:c>
      <x:c r="F6" s="39" t="str">
        <x:v>予定が作成され作成者がmember登録され、条件入力へ進む</x:v>
      </x:c>
      <x:c r="G6" s="39" t="str">
        <x:v>デプロイ前</x:v>
      </x:c>
      <x:c r="H6" s="43" t="str">
        <x:v>高</x:v>
      </x:c>
      <x:c r="I6" s="44" t="str">
        <x:v>未実施</x:v>
      </x:c>
      <x:c r="J6" s="39" t="str">
        <x:v>V6仕様で再実施</x:v>
      </x:c>
    </x:row>
    <x:row r="7" ht="22.5" customHeight="1">
      <x:c r="A7" s="39" t="str">
        <x:v>TC-006</x:v>
      </x:c>
      <x:c r="B7" s="39" t="str">
        <x:v>予定作成</x:v>
      </x:c>
      <x:c r="C7" s="39" t="str">
        <x:v>作成者名に設定済み表示名が使われる</x:v>
      </x:c>
      <x:c r="D7" s="39" t="str">
        <x:v>表示名設定済み</x:v>
      </x:c>
      <x:c r="E7" s="39" t="str">
        <x:v>予定を作成し詳細を確認</x:v>
      </x:c>
      <x:c r="F7" s="39" t="str">
        <x:v>設定済み表示名で表示される</x:v>
      </x:c>
      <x:c r="G7" s="39" t="str">
        <x:v>デプロイ前</x:v>
      </x:c>
      <x:c r="H7" s="43" t="str">
        <x:v>高</x:v>
      </x:c>
      <x:c r="I7" s="44" t="str">
        <x:v>OK</x:v>
      </x:c>
      <x:c r="J7" s="39" t="str"/>
    </x:row>
    <x:row r="8" ht="22.5" customHeight="1">
      <x:c r="A8" s="39" t="str">
        <x:v>TC-007</x:v>
      </x:c>
      <x:c r="B8" s="39" t="str">
        <x:v>予定作成</x:v>
      </x:c>
      <x:c r="C8" s="39" t="str">
        <x:v>必須項目未入力を防止できる</x:v>
      </x:c>
      <x:c r="D8" s="39" t="str">
        <x:v>予定作成画面</x:v>
      </x:c>
      <x:c r="E8" s="39" t="str">
        <x:v>予定名・開始日・終了日を欠けさせて作成</x:v>
      </x:c>
      <x:c r="F8" s="39" t="str">
        <x:v>不正な予定が作成されない</x:v>
      </x:c>
      <x:c r="G8" s="39" t="str">
        <x:v>デプロイ前</x:v>
      </x:c>
      <x:c r="H8" s="43" t="str">
        <x:v>高</x:v>
      </x:c>
      <x:c r="I8" s="44" t="str">
        <x:v>未実施</x:v>
      </x:c>
      <x:c r="J8" s="39" t="str">
        <x:v>Create再設計後に再実施</x:v>
      </x:c>
    </x:row>
    <x:row r="9" ht="22.5" customHeight="1">
      <x:c r="A9" s="39" t="str">
        <x:v>TC-008</x:v>
      </x:c>
      <x:c r="B9" s="39" t="str">
        <x:v>予定作成</x:v>
      </x:c>
      <x:c r="C9" s="39" t="str">
        <x:v>同日・月またぎ・年またぎ</x:v>
      </x:c>
      <x:c r="D9" s="39" t="str">
        <x:v>予定作成画面</x:v>
      </x:c>
      <x:c r="E9" s="39" t="str">
        <x:v>境界条件の予定を作成</x:v>
      </x:c>
      <x:c r="F9" s="39" t="str">
        <x:v>日付が正しく保存・表示される</x:v>
      </x:c>
      <x:c r="G9" s="39" t="str">
        <x:v>デプロイ前</x:v>
      </x:c>
      <x:c r="H9" s="43" t="str">
        <x:v>中</x:v>
      </x:c>
      <x:c r="I9" s="44" t="str">
        <x:v>未実施</x:v>
      </x:c>
      <x:c r="J9" s="39" t="str">
        <x:v>共通日付format導入後に再実施</x:v>
      </x:c>
    </x:row>
    <x:row r="10" ht="22.5" customHeight="1">
      <x:c r="A10" s="39" t="str">
        <x:v>TC-009</x:v>
      </x:c>
      <x:c r="B10" s="39" t="str">
        <x:v>ホーム</x:v>
      </x:c>
      <x:c r="C10" s="39" t="str">
        <x:v>自分が未回答の代表予定を表示</x:v>
      </x:c>
      <x:c r="D10" s="39" t="str">
        <x:v>自分が未回答のactive予定が複数</x:v>
      </x:c>
      <x:c r="E10" s="39" t="str">
        <x:v>ホームを開く</x:v>
      </x:c>
      <x:c r="F10" s="39" t="str">
        <x:v>開催期間が近い1件だけ表示され「回答する」が出る</x:v>
      </x:c>
      <x:c r="G10" s="39" t="str">
        <x:v>デプロイ前</x:v>
      </x:c>
      <x:c r="H10" s="43" t="str">
        <x:v>高</x:v>
      </x:c>
      <x:c r="I10" s="44" t="str">
        <x:v>未実施</x:v>
      </x:c>
      <x:c r="J10" s="39" t="str">
        <x:v>Home再設計後</x:v>
      </x:c>
    </x:row>
    <x:row r="11" ht="22.5" customHeight="1">
      <x:c r="A11" s="39" t="str">
        <x:v>TC-010</x:v>
      </x:c>
      <x:c r="B11" s="39" t="str">
        <x:v>ホーム</x:v>
      </x:c>
      <x:c r="C11" s="39" t="str">
        <x:v>全員回答済みの代表予定を表示</x:v>
      </x:c>
      <x:c r="D11" s="39" t="str">
        <x:v>全員回答済みactive予定が複数</x:v>
      </x:c>
      <x:c r="E11" s="39" t="str">
        <x:v>ホームを開く</x:v>
      </x:c>
      <x:c r="F11" s="39" t="str">
        <x:v>開催期間が近い1件だけ表示され「集計結果を見る」が出る</x:v>
      </x:c>
      <x:c r="G11" s="39" t="str">
        <x:v>デプロイ前</x:v>
      </x:c>
      <x:c r="H11" s="43" t="str">
        <x:v>高</x:v>
      </x:c>
      <x:c r="I11" s="44" t="str">
        <x:v>未実施</x:v>
      </x:c>
      <x:c r="J11" s="39" t="str">
        <x:v>Home再設計後</x:v>
      </x:c>
    </x:row>
    <x:row r="12" ht="22.5" customHeight="1">
      <x:c r="A12" s="39" t="str">
        <x:v>TC-011</x:v>
      </x:c>
      <x:c r="B12" s="39" t="str">
        <x:v>ホーム</x:v>
      </x:c>
      <x:c r="C12" s="39" t="str">
        <x:v>3状態すべて空のEmpty State</x:v>
      </x:c>
      <x:c r="D12" s="39" t="str">
        <x:v>対象active予定なし</x:v>
      </x:c>
      <x:c r="E12" s="39" t="str">
        <x:v>ホームを開く</x:v>
      </x:c>
      <x:c r="F12" s="39" t="str">
        <x:v>「今やることはありません」と予定作成導線が表示される</x:v>
      </x:c>
      <x:c r="G12" s="39" t="str">
        <x:v>デプロイ前</x:v>
      </x:c>
      <x:c r="H12" s="43" t="str">
        <x:v>中</x:v>
      </x:c>
      <x:c r="I12" s="44" t="str">
        <x:v>未実施</x:v>
      </x:c>
      <x:c r="J12" s="39" t="str">
        <x:v>Home再設計後</x:v>
      </x:c>
    </x:row>
    <x:row r="13" ht="22.5" customHeight="1">
      <x:c r="A13" s="39" t="str">
        <x:v>TC-012</x:v>
      </x:c>
      <x:c r="B13" s="39" t="str">
        <x:v>予定一覧</x:v>
      </x:c>
      <x:c r="C13" s="39" t="str">
        <x:v>active予定だけ状態別表示</x:v>
      </x:c>
      <x:c r="D13" s="39" t="str">
        <x:v>active/completedを含む複数予定</x:v>
      </x:c>
      <x:c r="E13" s="39" t="str">
        <x:v>予定一覧を開く</x:v>
      </x:c>
      <x:c r="F13" s="39" t="str">
        <x:v>active予定のみ3セクションへ分類される</x:v>
      </x:c>
      <x:c r="G13" s="39" t="str">
        <x:v>デプロイ前</x:v>
      </x:c>
      <x:c r="H13" s="43" t="str">
        <x:v>高</x:v>
      </x:c>
      <x:c r="I13" s="44" t="str">
        <x:v>未実施</x:v>
      </x:c>
      <x:c r="J13" s="39" t="str">
        <x:v>List再設計後</x:v>
      </x:c>
    </x:row>
    <x:row r="14" ht="22.5" customHeight="1">
      <x:c r="A14" s="39" t="str">
        <x:v>TC-013</x:v>
      </x:c>
      <x:c r="B14" s="39" t="str">
        <x:v>招待</x:v>
      </x:c>
      <x:c r="C14" s="39" t="str">
        <x:v>招待コードで予定検索</x:v>
      </x:c>
      <x:c r="D14" s="39" t="str">
        <x:v>別ユーザーの予定あり</x:v>
      </x:c>
      <x:c r="E14" s="39" t="str">
        <x:v>正しい招待コードを入力</x:v>
      </x:c>
      <x:c r="F14" s="39" t="str">
        <x:v>対象予定を特定できる</x:v>
      </x:c>
      <x:c r="G14" s="39" t="str">
        <x:v>デプロイ後・複数ユーザー必須</x:v>
      </x:c>
      <x:c r="H14" s="43" t="str">
        <x:v>高</x:v>
      </x:c>
      <x:c r="I14" s="44" t="str">
        <x:v>OK</x:v>
      </x:c>
      <x:c r="J14" s="39" t="str"/>
    </x:row>
    <x:row r="15" ht="22.5" customHeight="1">
      <x:c r="A15" s="39" t="str">
        <x:v>TC-014</x:v>
      </x:c>
      <x:c r="B15" s="39" t="str">
        <x:v>招待</x:v>
      </x:c>
      <x:c r="C15" s="39" t="str">
        <x:v>招待コード前後空白</x:v>
      </x:c>
      <x:c r="D15" s="39" t="str">
        <x:v>有効なコードあり</x:v>
      </x:c>
      <x:c r="E15" s="39" t="str">
        <x:v>前後に空白を付けて入力</x:v>
      </x:c>
      <x:c r="F15" s="39" t="str">
        <x:v>trimされ検索できる</x:v>
      </x:c>
      <x:c r="G15" s="39" t="str">
        <x:v>デプロイ後</x:v>
      </x:c>
      <x:c r="H15" s="43" t="str">
        <x:v>中</x:v>
      </x:c>
      <x:c r="I15" s="44" t="str">
        <x:v>OK</x:v>
      </x:c>
      <x:c r="J15" s="39" t="str"/>
    </x:row>
    <x:row r="16" ht="22.5" customHeight="1">
      <x:c r="A16" s="39" t="str">
        <x:v>TC-015</x:v>
      </x:c>
      <x:c r="B16" s="39" t="str">
        <x:v>招待</x:v>
      </x:c>
      <x:c r="C16" s="39" t="str">
        <x:v>招待コード大文字小文字</x:v>
      </x:c>
      <x:c r="D16" s="39" t="str">
        <x:v>英字入りコードあり</x:v>
      </x:c>
      <x:c r="E16" s="39" t="str">
        <x:v>大文字小文字を変えて入力</x:v>
      </x:c>
      <x:c r="F16" s="39" t="str">
        <x:v>同じ予定を検索できる</x:v>
      </x:c>
      <x:c r="G16" s="39" t="str">
        <x:v>デプロイ後</x:v>
      </x:c>
      <x:c r="H16" s="43" t="str">
        <x:v>中</x:v>
      </x:c>
      <x:c r="I16" s="44" t="str">
        <x:v>OK</x:v>
      </x:c>
      <x:c r="J16" s="39" t="str"/>
    </x:row>
    <x:row r="17" ht="22.5" customHeight="1">
      <x:c r="A17" s="39" t="str">
        <x:v>TC-016</x:v>
      </x:c>
      <x:c r="B17" s="39" t="str">
        <x:v>招待</x:v>
      </x:c>
      <x:c r="C17" s="39" t="str">
        <x:v>存在しない招待コード</x:v>
      </x:c>
      <x:c r="D17" s="39" t="str">
        <x:v>なし</x:v>
      </x:c>
      <x:c r="E17" s="39" t="str">
        <x:v>誤ったコードを入力</x:v>
      </x:c>
      <x:c r="F17" s="39" t="str">
        <x:v>参加せず適切なエラー表示になる</x:v>
      </x:c>
      <x:c r="G17" s="39" t="str">
        <x:v>デプロイ前</x:v>
      </x:c>
      <x:c r="H17" s="43" t="str">
        <x:v>高</x:v>
      </x:c>
      <x:c r="I17" s="44" t="str">
        <x:v>OK</x:v>
      </x:c>
      <x:c r="J17" s="39" t="str"/>
    </x:row>
    <x:row r="18" ht="22.5" customHeight="1">
      <x:c r="A18" s="39" t="str">
        <x:v>TC-017</x:v>
      </x:c>
      <x:c r="B18" s="39" t="str">
        <x:v>参加</x:v>
      </x:c>
      <x:c r="C18" s="39" t="str">
        <x:v>別ユーザーが参加できる</x:v>
      </x:c>
      <x:c r="D18" s="39" t="str">
        <x:v>招待検索成功</x:v>
      </x:c>
      <x:c r="E18" s="39" t="str">
        <x:v>参加操作を行う</x:v>
      </x:c>
      <x:c r="F18" s="39" t="str">
        <x:v>本人UID・設定名でmember登録される</x:v>
      </x:c>
      <x:c r="G18" s="39" t="str">
        <x:v>デプロイ後・複数ユーザー必須</x:v>
      </x:c>
      <x:c r="H18" s="43" t="str">
        <x:v>高</x:v>
      </x:c>
      <x:c r="I18" s="44" t="str">
        <x:v>OK</x:v>
      </x:c>
      <x:c r="J18" s="39" t="str"/>
    </x:row>
    <x:row r="19" ht="22.5" customHeight="1">
      <x:c r="A19" s="39" t="str">
        <x:v>TC-018</x:v>
      </x:c>
      <x:c r="B19" s="39" t="str">
        <x:v>参加</x:v>
      </x:c>
      <x:c r="C19" s="39" t="str">
        <x:v>同一ユーザー重複参加防止</x:v>
      </x:c>
      <x:c r="D19" s="39" t="str">
        <x:v>参加済み</x:v>
      </x:c>
      <x:c r="E19" s="39" t="str">
        <x:v>同じ予定へ再参加</x:v>
      </x:c>
      <x:c r="F19" s="39" t="str">
        <x:v>memberが重複作成されない</x:v>
      </x:c>
      <x:c r="G19" s="39" t="str">
        <x:v>デプロイ後</x:v>
      </x:c>
      <x:c r="H19" s="43" t="str">
        <x:v>高</x:v>
      </x:c>
      <x:c r="I19" s="44" t="str">
        <x:v>OK</x:v>
      </x:c>
      <x:c r="J19" s="39" t="str"/>
    </x:row>
    <x:row r="20" ht="22.5" customHeight="1">
      <x:c r="A20" s="39" t="str">
        <x:v>TC-019</x:v>
      </x:c>
      <x:c r="B20" s="39" t="str">
        <x:v>参加</x:v>
      </x:c>
      <x:c r="C20" s="39" t="str">
        <x:v>各ユーザーの設定名を表示</x:v>
      </x:c>
      <x:c r="D20" s="39" t="str">
        <x:v>2人以上参加</x:v>
      </x:c>
      <x:c r="E20" s="39" t="str">
        <x:v>異なる名前で参加</x:v>
      </x:c>
      <x:c r="F20" s="39" t="str">
        <x:v>全員が各設定名で表示される</x:v>
      </x:c>
      <x:c r="G20" s="39" t="str">
        <x:v>デプロイ後・複数ユーザー必須</x:v>
      </x:c>
      <x:c r="H20" s="43" t="str">
        <x:v>高</x:v>
      </x:c>
      <x:c r="I20" s="44" t="str">
        <x:v>OK</x:v>
      </x:c>
      <x:c r="J20" s="39" t="str"/>
    </x:row>
    <x:row r="21" ht="15.75" customHeight="1">
      <x:c r="A21" s="39" t="str">
        <x:v>TC-020</x:v>
      </x:c>
      <x:c r="B21" s="39" t="str">
        <x:v>回答</x:v>
      </x:c>
      <x:c r="C21" s="39" t="str">
        <x:v>回答を新規送信</x:v>
      </x:c>
      <x:c r="D21" s="39" t="str">
        <x:v>予定参加済み</x:v>
      </x:c>
      <x:c r="E21" s="39" t="str">
        <x:v>必要項目を入力し送信</x:v>
      </x:c>
      <x:c r="F21" s="39" t="str">
        <x:v>本人の回答が1件保存され予定詳細へ進む</x:v>
      </x:c>
      <x:c r="G21" s="39" t="str">
        <x:v>デプロイ後</x:v>
      </x:c>
      <x:c r="H21" s="43" t="str">
        <x:v>高</x:v>
      </x:c>
      <x:c r="I21" s="44" t="str">
        <x:v>未実施</x:v>
      </x:c>
      <x:c r="J21" s="39" t="str">
        <x:v>保存後Store確認ロジック追加後に再実施</x:v>
      </x:c>
    </x:row>
    <x:row r="22" ht="15.75" customHeight="1">
      <x:c r="A22" s="39" t="str">
        <x:v>TC-021</x:v>
      </x:c>
      <x:c r="B22" s="39" t="str">
        <x:v>回答</x:v>
      </x:c>
      <x:c r="C22" s="39" t="str">
        <x:v>複数日選択</x:v>
      </x:c>
      <x:c r="D22" s="39" t="str">
        <x:v>回答画面</x:v>
      </x:c>
      <x:c r="E22" s="39" t="str">
        <x:v>複数候補日を選択して送信</x:v>
      </x:c>
      <x:c r="F22" s="39" t="str">
        <x:v>全日付が保存・再表示される</x:v>
      </x:c>
      <x:c r="G22" s="39" t="str">
        <x:v>デプロイ前</x:v>
      </x:c>
      <x:c r="H22" s="43" t="str">
        <x:v>高</x:v>
      </x:c>
      <x:c r="I22" s="44" t="str">
        <x:v>OK</x:v>
      </x:c>
      <x:c r="J22" s="39" t="str"/>
    </x:row>
    <x:row r="23" ht="15.75" customHeight="1">
      <x:c r="A23" s="39" t="str">
        <x:v>TC-022</x:v>
      </x:c>
      <x:c r="B23" s="39" t="str">
        <x:v>回答</x:v>
      </x:c>
      <x:c r="C23" s="39" t="str">
        <x:v>複数活動選択</x:v>
      </x:c>
      <x:c r="D23" s="39" t="str">
        <x:v>回答画面</x:v>
      </x:c>
      <x:c r="E23" s="39" t="str">
        <x:v>複数活動を選択して送信</x:v>
      </x:c>
      <x:c r="F23" s="39" t="str">
        <x:v>全選択が保存・集計される</x:v>
      </x:c>
      <x:c r="G23" s="39" t="str">
        <x:v>デプロイ前</x:v>
      </x:c>
      <x:c r="H23" s="43" t="str">
        <x:v>高</x:v>
      </x:c>
      <x:c r="I23" s="44" t="str">
        <x:v>OK</x:v>
      </x:c>
      <x:c r="J23" s="39" t="str"/>
    </x:row>
    <x:row r="24" ht="15.75" customHeight="1">
      <x:c r="A24" s="39" t="str">
        <x:v>TC-023</x:v>
      </x:c>
      <x:c r="B24" s="39" t="str">
        <x:v>回答</x:v>
      </x:c>
      <x:c r="C24" s="39" t="str">
        <x:v>希望エリア空欄（flexible）</x:v>
      </x:c>
      <x:c r="D24" s="39" t="str">
        <x:v>flexible予定</x:v>
      </x:c>
      <x:c r="E24" s="39" t="str">
        <x:v>preferredAreasを0件で送信</x:v>
      </x:c>
      <x:c r="F24" s="39" t="str">
        <x:v>正常保存される</x:v>
      </x:c>
      <x:c r="G24" s="39" t="str">
        <x:v>デプロイ前</x:v>
      </x:c>
      <x:c r="H24" s="43" t="str">
        <x:v>中</x:v>
      </x:c>
      <x:c r="I24" s="44" t="str">
        <x:v>未実施</x:v>
      </x:c>
      <x:c r="J24" s="39" t="str">
        <x:v>transitでは1件以上必須</x:v>
      </x:c>
    </x:row>
    <x:row r="25" ht="15.75" customHeight="1">
      <x:c r="A25" s="39" t="str">
        <x:v>TC-024</x:v>
      </x:c>
      <x:c r="B25" s="39" t="str">
        <x:v>回答編集</x:v>
      </x:c>
      <x:c r="C25" s="39" t="str">
        <x:v>既存回答を編集</x:v>
      </x:c>
      <x:c r="D25" s="39" t="str">
        <x:v>回答済み</x:v>
      </x:c>
      <x:c r="E25" s="39" t="str">
        <x:v>内容を変更して保存</x:v>
      </x:c>
      <x:c r="F25" s="39" t="str">
        <x:v>新規行を増やさず既存回答が更新される</x:v>
      </x:c>
      <x:c r="G25" s="39" t="str">
        <x:v>デプロイ後</x:v>
      </x:c>
      <x:c r="H25" s="43" t="str">
        <x:v>高</x:v>
      </x:c>
      <x:c r="I25" s="44" t="str">
        <x:v>OK</x:v>
      </x:c>
      <x:c r="J25" s="39" t="str"/>
    </x:row>
    <x:row r="26" ht="15.75" customHeight="1">
      <x:c r="A26" s="39" t="str">
        <x:v>TC-025</x:v>
      </x:c>
      <x:c r="B26" s="39" t="str">
        <x:v>予定詳細</x:v>
      </x:c>
      <x:c r="C26" s="39" t="str">
        <x:v>未回答者を先に表示</x:v>
      </x:c>
      <x:c r="D26" s="39" t="str">
        <x:v>未回答・回答済み混在</x:v>
      </x:c>
      <x:c r="E26" s="39" t="str">
        <x:v>予定詳細を開く</x:v>
      </x:c>
      <x:c r="F26" s="39" t="str">
        <x:v>未回答→回答済みの順で表示される</x:v>
      </x:c>
      <x:c r="G26" s="39" t="str">
        <x:v>デプロイ前</x:v>
      </x:c>
      <x:c r="H26" s="43" t="str">
        <x:v>中</x:v>
      </x:c>
      <x:c r="I26" s="44" t="str">
        <x:v>未実施</x:v>
      </x:c>
      <x:c r="J26" s="39" t="str">
        <x:v>詳細再設計後に再実施</x:v>
      </x:c>
    </x:row>
    <x:row r="27" ht="15.75" customHeight="1">
      <x:c r="A27" s="39" t="str">
        <x:v>TC-026</x:v>
      </x:c>
      <x:c r="B27" s="39" t="str">
        <x:v>予定詳細</x:v>
      </x:c>
      <x:c r="C27" s="39" t="str">
        <x:v>同状態では現在ユーザーを優先</x:v>
      </x:c>
      <x:c r="D27" s="39" t="str">
        <x:v>自分と他人が同じ回答状態</x:v>
      </x:c>
      <x:c r="E27" s="39" t="str">
        <x:v>予定詳細を開く</x:v>
      </x:c>
      <x:c r="F27" s="39" t="str">
        <x:v>同じ状態グループ内で現在ユーザーが先に表示される</x:v>
      </x:c>
      <x:c r="G27" s="39" t="str">
        <x:v>デプロイ後</x:v>
      </x:c>
      <x:c r="H27" s="43" t="str">
        <x:v>中</x:v>
      </x:c>
      <x:c r="I27" s="44" t="str">
        <x:v>未実施</x:v>
      </x:c>
      <x:c r="J27" s="39" t="str">
        <x:v>詳細再設計後に再実施</x:v>
      </x:c>
    </x:row>
    <x:row r="28" ht="15.75" customHeight="1">
      <x:c r="A28" s="39" t="str">
        <x:v>TC-027</x:v>
      </x:c>
      <x:c r="B28" s="39" t="str">
        <x:v>予定詳細</x:v>
      </x:c>
      <x:c r="C28" s="39" t="str">
        <x:v>回答状況スクロール</x:v>
      </x:c>
      <x:c r="D28" s="39" t="str">
        <x:v>5人以上参加</x:v>
      </x:c>
      <x:c r="E28" s="39" t="str">
        <x:v>回答状況をスクロール</x:v>
      </x:c>
      <x:c r="F28" s="39" t="str">
        <x:v>独立スクロール領域として操作できる</x:v>
      </x:c>
      <x:c r="G28" s="39" t="str">
        <x:v>デプロイ前</x:v>
      </x:c>
      <x:c r="H28" s="43" t="str">
        <x:v>中</x:v>
      </x:c>
      <x:c r="I28" s="44" t="str">
        <x:v>未実施</x:v>
      </x:c>
      <x:c r="J28" s="39" t="str">
        <x:v>詳細再設計後に再実施</x:v>
      </x:c>
    </x:row>
    <x:row r="29" ht="15.75" customHeight="1">
      <x:c r="A29" s="39" t="str">
        <x:v>TC-028</x:v>
      </x:c>
      <x:c r="B29" s="39" t="str">
        <x:v>予定詳細</x:v>
      </x:c>
      <x:c r="C29" s="39" t="str">
        <x:v>全員回答済み状態</x:v>
      </x:c>
      <x:c r="D29" s="39" t="str">
        <x:v>全員回答済み</x:v>
      </x:c>
      <x:c r="E29" s="39" t="str">
        <x:v>予定詳細を開く</x:v>
      </x:c>
      <x:c r="F29" s="39" t="str">
        <x:v>「みんなの回答がそろいました」が表示される</x:v>
      </x:c>
      <x:c r="G29" s="39" t="str">
        <x:v>デプロイ後</x:v>
      </x:c>
      <x:c r="H29" s="43" t="str">
        <x:v>高</x:v>
      </x:c>
      <x:c r="I29" s="44" t="str">
        <x:v>未実施</x:v>
      </x:c>
      <x:c r="J29" s="39" t="str">
        <x:v>詳細再設計後</x:v>
      </x:c>
    </x:row>
    <x:row r="30" ht="15.75" customHeight="1">
      <x:c r="A30" s="39" t="str">
        <x:v>TC-029</x:v>
      </x:c>
      <x:c r="B30" s="39" t="str">
        <x:v>集計</x:v>
      </x:c>
      <x:c r="C30" s="39" t="str">
        <x:v>日程集計</x:v>
      </x:c>
      <x:c r="D30" s="39" t="str">
        <x:v>複数回答あり</x:v>
      </x:c>
      <x:c r="E30" s="39" t="str">
        <x:v>集計結果を開く</x:v>
      </x:c>
      <x:c r="F30" s="39" t="str">
        <x:v>各日付の人数が実データと一致</x:v>
      </x:c>
      <x:c r="G30" s="39" t="str">
        <x:v>デプロイ後・複数ユーザー必須</x:v>
      </x:c>
      <x:c r="H30" s="43" t="str">
        <x:v>高</x:v>
      </x:c>
      <x:c r="I30" s="44" t="str">
        <x:v>OK</x:v>
      </x:c>
      <x:c r="J30" s="39" t="str"/>
    </x:row>
    <x:row r="31" ht="15.75" customHeight="1">
      <x:c r="A31" s="39" t="str">
        <x:v>TC-030</x:v>
      </x:c>
      <x:c r="B31" s="39" t="str">
        <x:v>集計</x:v>
      </x:c>
      <x:c r="C31" s="39" t="str">
        <x:v>活動集計</x:v>
      </x:c>
      <x:c r="D31" s="39" t="str">
        <x:v>複数回答あり</x:v>
      </x:c>
      <x:c r="E31" s="39" t="str">
        <x:v>集計結果を開く</x:v>
      </x:c>
      <x:c r="F31" s="39" t="str">
        <x:v>何でもOKを含む一致人数が実データと一致</x:v>
      </x:c>
      <x:c r="G31" s="39" t="str">
        <x:v>デプロイ後・複数ユーザー必須</x:v>
      </x:c>
      <x:c r="H31" s="43" t="str">
        <x:v>高</x:v>
      </x:c>
      <x:c r="I31" s="44" t="str">
        <x:v>未実施</x:v>
      </x:c>
      <x:c r="J31" s="39" t="str">
        <x:v>何でもOK集計仕様を明示</x:v>
      </x:c>
    </x:row>
    <x:row r="32" ht="15.75" customHeight="1">
      <x:c r="A32" s="39" t="str">
        <x:v>TC-031</x:v>
      </x:c>
      <x:c r="B32" s="39" t="str">
        <x:v>集計</x:v>
      </x:c>
      <x:c r="C32" s="39" t="str">
        <x:v>全員一致表示</x:v>
      </x:c>
      <x:c r="D32" s="39" t="str">
        <x:v>全員同条件を選択</x:v>
      </x:c>
      <x:c r="E32" s="39" t="str">
        <x:v>集計結果を開く</x:v>
      </x:c>
      <x:c r="F32" s="39" t="str">
        <x:v>代表値・詳しい集計が重複過多にならず正しく表示</x:v>
      </x:c>
      <x:c r="G32" s="39" t="str">
        <x:v>デプロイ後</x:v>
      </x:c>
      <x:c r="H32" s="43" t="str">
        <x:v>高</x:v>
      </x:c>
      <x:c r="I32" s="44" t="str">
        <x:v>未実施</x:v>
      </x:c>
      <x:c r="J32" s="39" t="str">
        <x:v>Result情報整理後</x:v>
      </x:c>
    </x:row>
    <x:row r="33" ht="15.75" customHeight="1">
      <x:c r="A33" s="39" t="str">
        <x:v>TC-032</x:v>
      </x:c>
      <x:c r="B33" s="39" t="str">
        <x:v>集計</x:v>
      </x:c>
      <x:c r="C33" s="39" t="str">
        <x:v>一部一致の人数表現</x:v>
      </x:c>
      <x:c r="D33" s="39" t="str">
        <x:v>一部のみ同条件</x:v>
      </x:c>
      <x:c r="E33" s="39" t="str">
        <x:v>集計結果を開く</x:v>
      </x:c>
      <x:c r="F33" s="39" t="str">
        <x:v>活動は「○人の希望に一致」、エリアは「○票」で正しく表示</x:v>
      </x:c>
      <x:c r="G33" s="39" t="str">
        <x:v>デプロイ後</x:v>
      </x:c>
      <x:c r="H33" s="43" t="str">
        <x:v>高</x:v>
      </x:c>
      <x:c r="I33" s="44" t="str">
        <x:v>未実施</x:v>
      </x:c>
      <x:c r="J33" s="39" t="str">
        <x:v>人数/票の意味を再確認</x:v>
      </x:c>
    </x:row>
    <x:row r="34" ht="15.75" customHeight="1">
      <x:c r="A34" s="39" t="str">
        <x:v>TC-033</x:v>
      </x:c>
      <x:c r="B34" s="39" t="str">
        <x:v>集計</x:v>
      </x:c>
      <x:c r="C34" s="39" t="str">
        <x:v>日付表示形式</x:v>
      </x:c>
      <x:c r="D34" s="39" t="str">
        <x:v>回答あり</x:v>
      </x:c>
      <x:c r="E34" s="39" t="str">
        <x:v>集計結果を開く</x:v>
      </x:c>
      <x:c r="F34" s="39" t="str">
        <x:v>同一年/年またぎの設計済み形式で表示される</x:v>
      </x:c>
      <x:c r="G34" s="39" t="str">
        <x:v>デプロイ前</x:v>
      </x:c>
      <x:c r="H34" s="43" t="str">
        <x:v>中</x:v>
      </x:c>
      <x:c r="I34" s="44" t="str">
        <x:v>未実施</x:v>
      </x:c>
      <x:c r="J34" s="39" t="str">
        <x:v>日付format統一後</x:v>
      </x:c>
    </x:row>
    <x:row r="35" ht="15.75" customHeight="1">
      <x:c r="A35" s="39" t="str">
        <x:v>TC-034</x:v>
      </x:c>
      <x:c r="B35" s="39" t="str">
        <x:v>集計</x:v>
      </x:c>
      <x:c r="C35" s="39" t="str">
        <x:v>希望エリア・簡易移動範囲</x:v>
      </x:c>
      <x:c r="D35" s="39" t="str">
        <x:v>flexibleで徒歩/車回答あり</x:v>
      </x:c>
      <x:c r="E35" s="39" t="str">
        <x:v>集計結果を開く</x:v>
      </x:c>
      <x:c r="F35" s="39" t="str">
        <x:v>希望エリア票と概算の移動範囲が表示され、推薦表現をしない</x:v>
      </x:c>
      <x:c r="G35" s="39" t="str">
        <x:v>デプロイ後</x:v>
      </x:c>
      <x:c r="H35" s="43" t="str">
        <x:v>中</x:v>
      </x:c>
      <x:c r="I35" s="44" t="str">
        <x:v>未実施</x:v>
      </x:c>
      <x:c r="J35" s="39" t="str">
        <x:v>候補エリア算出は対象外</x:v>
      </x:c>
    </x:row>
    <x:row r="36" ht="15.75" customHeight="1">
      <x:c r="A36" s="39" t="str">
        <x:v>TC-035</x:v>
      </x:c>
      <x:c r="B36" s="39" t="str">
        <x:v>RLS</x:v>
      </x:c>
      <x:c r="C36" s="39" t="str">
        <x:v>未参加者は通常予定SELECT不可</x:v>
      </x:c>
      <x:c r="D36" s="39" t="str">
        <x:v>別ユーザー予定あり</x:v>
      </x:c>
      <x:c r="E36" s="39" t="str">
        <x:v>未参加で通常取得を試す</x:v>
      </x:c>
      <x:c r="F36" s="39" t="str">
        <x:v>schedules SELECTで取得できない</x:v>
      </x:c>
      <x:c r="G36" s="39" t="str">
        <x:v>デプロイ後・必須</x:v>
      </x:c>
      <x:c r="H36" s="43" t="str">
        <x:v>高</x:v>
      </x:c>
      <x:c r="I36" s="43" t="str">
        <x:v>OK</x:v>
      </x:c>
      <x:c r="J36" s="39" t="str"/>
    </x:row>
    <x:row r="37" ht="15.75" customHeight="1">
      <x:c r="A37" s="39" t="str">
        <x:v>TC-036</x:v>
      </x:c>
      <x:c r="B37" s="39" t="str">
        <x:v>RLS</x:v>
      </x:c>
      <x:c r="C37" s="39" t="str">
        <x:v>招待RPCは認証済みのみ</x:v>
      </x:c>
      <x:c r="D37" s="39" t="str">
        <x:v>未認証状態</x:v>
      </x:c>
      <x:c r="E37" s="39" t="str">
        <x:v>RPC実行を試す</x:v>
      </x:c>
      <x:c r="F37" s="39" t="str">
        <x:v>anonでは実行不可または結果取得不可</x:v>
      </x:c>
      <x:c r="G37" s="39" t="str">
        <x:v>デプロイ後・必須</x:v>
      </x:c>
      <x:c r="H37" s="43" t="str">
        <x:v>高</x:v>
      </x:c>
      <x:c r="I37" s="43" t="str">
        <x:v>未実施</x:v>
      </x:c>
      <x:c r="J37" s="39" t="str"/>
    </x:row>
    <x:row r="38" ht="15.75" customHeight="1">
      <x:c r="A38" s="39" t="str">
        <x:v>TC-037</x:v>
      </x:c>
      <x:c r="B38" s="39" t="str">
        <x:v>RLS</x:v>
      </x:c>
      <x:c r="C38" s="39" t="str">
        <x:v>他人の回答更新不可</x:v>
      </x:c>
      <x:c r="D38" s="39" t="str">
        <x:v>A/B参加済み</x:v>
      </x:c>
      <x:c r="E38" s="39" t="str">
        <x:v>AでBのresponse更新を試す</x:v>
      </x:c>
      <x:c r="F38" s="39" t="str">
        <x:v>RLSで失敗する</x:v>
      </x:c>
      <x:c r="G38" s="39" t="str">
        <x:v>デプロイ後・必須</x:v>
      </x:c>
      <x:c r="H38" s="43" t="str">
        <x:v>高</x:v>
      </x:c>
      <x:c r="I38" s="43" t="str">
        <x:v>未実施</x:v>
      </x:c>
      <x:c r="J38" s="39" t="str"/>
    </x:row>
    <x:row r="39" ht="15.75" customHeight="1">
      <x:c r="A39" s="39" t="str">
        <x:v>TC-038</x:v>
      </x:c>
      <x:c r="B39" s="39" t="str">
        <x:v>RLS</x:v>
      </x:c>
      <x:c r="C39" s="39" t="str">
        <x:v>他人のmember更新不可</x:v>
      </x:c>
      <x:c r="D39" s="39" t="str">
        <x:v>A/B参加済み</x:v>
      </x:c>
      <x:c r="E39" s="39" t="str">
        <x:v>AでBのmember更新を試す</x:v>
      </x:c>
      <x:c r="F39" s="39" t="str">
        <x:v>RLSで失敗する</x:v>
      </x:c>
      <x:c r="G39" s="39" t="str">
        <x:v>デプロイ後・必須</x:v>
      </x:c>
      <x:c r="H39" s="43" t="str">
        <x:v>高</x:v>
      </x:c>
      <x:c r="I39" s="43" t="str">
        <x:v>未実施</x:v>
      </x:c>
      <x:c r="J39" s="39" t="str"/>
    </x:row>
    <x:row r="40" ht="15.75" customHeight="1">
      <x:c r="A40" s="39" t="str">
        <x:v>TC-039</x:v>
      </x:c>
      <x:c r="B40" s="39" t="str">
        <x:v>RLS</x:v>
      </x:c>
      <x:c r="C40" s="39" t="str">
        <x:v>非memberはresponses閲覧不可</x:v>
      </x:c>
      <x:c r="D40" s="39" t="str">
        <x:v>未参加ユーザーあり</x:v>
      </x:c>
      <x:c r="E40" s="39" t="str">
        <x:v>responses取得を試す</x:v>
      </x:c>
      <x:c r="F40" s="39" t="str">
        <x:v>RLSで取得できない</x:v>
      </x:c>
      <x:c r="G40" s="39" t="str">
        <x:v>デプロイ後・必須</x:v>
      </x:c>
      <x:c r="H40" s="43" t="str">
        <x:v>高</x:v>
      </x:c>
      <x:c r="I40" s="43" t="str">
        <x:v>未実施</x:v>
      </x:c>
      <x:c r="J40" s="39" t="str"/>
    </x:row>
    <x:row r="41" ht="15.75" customHeight="1">
      <x:c r="A41" s="39" t="str">
        <x:v>TC-040</x:v>
      </x:c>
      <x:c r="B41" s="39" t="str">
        <x:v>データ保持</x:v>
      </x:c>
      <x:c r="C41" s="39" t="str">
        <x:v>リロード後も表示名保持</x:v>
      </x:c>
      <x:c r="D41" s="39" t="str">
        <x:v>表示名保存済み</x:v>
      </x:c>
      <x:c r="E41" s="39" t="str">
        <x:v>リロード</x:v>
      </x:c>
      <x:c r="F41" s="39" t="str">
        <x:v>localStorageから表示名が復元される</x:v>
      </x:c>
      <x:c r="G41" s="39" t="str">
        <x:v>デプロイ前</x:v>
      </x:c>
      <x:c r="H41" s="43" t="str">
        <x:v>高</x:v>
      </x:c>
      <x:c r="I41" s="44" t="str">
        <x:v>OK</x:v>
      </x:c>
      <x:c r="J41" s="39" t="str"/>
    </x:row>
    <x:row r="42" ht="15.75" customHeight="1">
      <x:c r="A42" s="39" t="str">
        <x:v>TC-041</x:v>
      </x:c>
      <x:c r="B42" s="39" t="str">
        <x:v>データ保持</x:v>
      </x:c>
      <x:c r="C42" s="39" t="str">
        <x:v>リロード後も参加予定再取得</x:v>
      </x:c>
      <x:c r="D42" s="39" t="str">
        <x:v>参加予定あり</x:v>
      </x:c>
      <x:c r="E42" s="39" t="str">
        <x:v>ホーム等でリロード</x:v>
      </x:c>
      <x:c r="F42" s="39" t="str">
        <x:v>認証後に参加予定が正常表示される</x:v>
      </x:c>
      <x:c r="G42" s="39" t="str">
        <x:v>デプロイ後</x:v>
      </x:c>
      <x:c r="H42" s="43" t="str">
        <x:v>高</x:v>
      </x:c>
      <x:c r="I42" s="44" t="str">
        <x:v>OK</x:v>
      </x:c>
      <x:c r="J42" s="39" t="str"/>
    </x:row>
    <x:row r="43" ht="15.75" customHeight="1">
      <x:c r="A43" s="39" t="str">
        <x:v>TC-042</x:v>
      </x:c>
      <x:c r="B43" s="39" t="str">
        <x:v>ブラウザ操作</x:v>
      </x:c>
      <x:c r="C43" s="39" t="str">
        <x:v>戻るボタン</x:v>
      </x:c>
      <x:c r="D43" s="39" t="str">
        <x:v>詳細・招待・回答等</x:v>
      </x:c>
      <x:c r="E43" s="39" t="str">
        <x:v>左上戻るを押す</x:v>
      </x:c>
      <x:c r="F43" s="39" t="str">
        <x:v>意図した画面へ戻り表示崩れがない</x:v>
      </x:c>
      <x:c r="G43" s="39" t="str">
        <x:v>デプロイ前</x:v>
      </x:c>
      <x:c r="H43" s="43" t="str">
        <x:v>中</x:v>
      </x:c>
      <x:c r="I43" s="44" t="str">
        <x:v>未実施</x:v>
      </x:c>
      <x:c r="J43" s="39" t="str">
        <x:v>一覧→条件入力直行は廃止</x:v>
      </x:c>
    </x:row>
    <x:row r="44" ht="15.75" customHeight="1">
      <x:c r="A44" s="39" t="str">
        <x:v>TC-043</x:v>
      </x:c>
      <x:c r="B44" s="39" t="str">
        <x:v>ブラウザ操作</x:v>
      </x:c>
      <x:c r="C44" s="39" t="str">
        <x:v>直接URLアクセス</x:v>
      </x:c>
      <x:c r="D44" s="39" t="str">
        <x:v>有効な予定URLあり</x:v>
      </x:c>
      <x:c r="E44" s="39" t="str">
        <x:v>URLを直接開く</x:v>
      </x:c>
      <x:c r="F44" s="39" t="str">
        <x:v>認証・取得後に正常表示される</x:v>
      </x:c>
      <x:c r="G44" s="39" t="str">
        <x:v>デプロイ後</x:v>
      </x:c>
      <x:c r="H44" s="43" t="str">
        <x:v>中</x:v>
      </x:c>
      <x:c r="I44" s="44" t="str">
        <x:v>OK</x:v>
      </x:c>
      <x:c r="J44" s="39" t="str">
        <x:v>/schedulesの名前設定迂回は既知課題</x:v>
      </x:c>
    </x:row>
    <x:row r="45" ht="15.75" customHeight="1">
      <x:c r="A45" s="39" t="str">
        <x:v>TC-044</x:v>
      </x:c>
      <x:c r="B45" s="39" t="str">
        <x:v>入力境界</x:v>
      </x:c>
      <x:c r="C45" s="39" t="str">
        <x:v>長い予定名</x:v>
      </x:c>
      <x:c r="D45" s="39" t="str">
        <x:v>なし</x:v>
      </x:c>
      <x:c r="E45" s="39" t="str">
        <x:v>長い予定名で作成</x:v>
      </x:c>
      <x:c r="F45" s="39" t="str">
        <x:v>各主要画面で横幅を壊さず折り返す</x:v>
      </x:c>
      <x:c r="G45" s="39" t="str">
        <x:v>デプロイ前</x:v>
      </x:c>
      <x:c r="H45" s="43" t="str">
        <x:v>中</x:v>
      </x:c>
      <x:c r="I45" s="44" t="str">
        <x:v>未実施</x:v>
      </x:c>
      <x:c r="J45" s="39" t="str">
        <x:v>Listカードを含め再実施</x:v>
      </x:c>
    </x:row>
    <x:row r="46" ht="15.75" customHeight="1">
      <x:c r="A46" s="39" t="str">
        <x:v>TC-045</x:v>
      </x:c>
      <x:c r="B46" s="39" t="str">
        <x:v>入力境界</x:v>
      </x:c>
      <x:c r="C46" s="39" t="str">
        <x:v>長い表示名</x:v>
      </x:c>
      <x:c r="D46" s="39" t="str">
        <x:v>初回設定</x:v>
      </x:c>
      <x:c r="E46" s="39" t="str">
        <x:v>長めの表示名を設定</x:v>
      </x:c>
      <x:c r="F46" s="39" t="str">
        <x:v>参加者表示等で致命的な崩れがない</x:v>
      </x:c>
      <x:c r="G46" s="39" t="str">
        <x:v>デプロイ前</x:v>
      </x:c>
      <x:c r="H46" s="43" t="str">
        <x:v>中</x:v>
      </x:c>
      <x:c r="I46" s="44" t="str">
        <x:v>OK</x:v>
      </x:c>
      <x:c r="J46" s="39" t="str"/>
    </x:row>
    <x:row r="47" ht="15.75" customHeight="1">
      <x:c r="A47" s="39" t="str">
        <x:v>TC-046</x:v>
      </x:c>
      <x:c r="B47" s="39" t="str">
        <x:v>入力境界</x:v>
      </x:c>
      <x:c r="C47" s="39" t="str">
        <x:v>長い希望エリア</x:v>
      </x:c>
      <x:c r="D47" s="39" t="str">
        <x:v>回答画面</x:v>
      </x:c>
      <x:c r="E47" s="39" t="str">
        <x:v>1枠40文字付近の文字列を登録</x:v>
      </x:c>
      <x:c r="F47" s="39" t="str">
        <x:v>チップ・詳細・集計で折返し/表示崩れがない</x:v>
      </x:c>
      <x:c r="G47" s="39" t="str">
        <x:v>デプロイ前</x:v>
      </x:c>
      <x:c r="H47" s="43" t="str">
        <x:v>低</x:v>
      </x:c>
      <x:c r="I47" s="43" t="str">
        <x:v>未実施</x:v>
      </x:c>
      <x:c r="J47" s="39" t="str">
        <x:v>メモ入力UIは削除済み</x:v>
      </x:c>
    </x:row>
    <x:row r="48" ht="15.75" customHeight="1">
      <x:c r="A48" s="39" t="str">
        <x:v>TC-047</x:v>
      </x:c>
      <x:c r="B48" s="39" t="str">
        <x:v>UI</x:v>
      </x:c>
      <x:c r="C48" s="39" t="str">
        <x:v>BottomNavigationが被らない</x:v>
      </x:c>
      <x:c r="D48" s="39" t="str">
        <x:v>各主要画面</x:v>
      </x:c>
      <x:c r="E48" s="39" t="str">
        <x:v>最下部までスクロール</x:v>
      </x:c>
      <x:c r="F48" s="39" t="str">
        <x:v>最下部コンテンツが隠れない</x:v>
      </x:c>
      <x:c r="G48" s="39" t="str">
        <x:v>デプロイ前</x:v>
      </x:c>
      <x:c r="H48" s="43" t="str">
        <x:v>高</x:v>
      </x:c>
      <x:c r="I48" s="44" t="str">
        <x:v>OK</x:v>
      </x:c>
      <x:c r="J48" s="39" t="str"/>
    </x:row>
    <x:row r="49" ht="15.75" customHeight="1">
      <x:c r="A49" s="39" t="str">
        <x:v>TC-048</x:v>
      </x:c>
      <x:c r="B49" s="39" t="str">
        <x:v>UI</x:v>
      </x:c>
      <x:c r="C49" s="39" t="str">
        <x:v>モバイル幅で崩れない</x:v>
      </x:c>
      <x:c r="D49" s="39" t="str">
        <x:v>各主要画面</x:v>
      </x:c>
      <x:c r="E49" s="39" t="str">
        <x:v>360〜375pxで表示</x:v>
      </x:c>
      <x:c r="F49" s="39" t="str">
        <x:v>意図しないページ全体の横スクロール・重なり・欠けがない</x:v>
      </x:c>
      <x:c r="G49" s="39" t="str">
        <x:v>デプロイ前</x:v>
      </x:c>
      <x:c r="H49" s="43" t="str">
        <x:v>高</x:v>
      </x:c>
      <x:c r="I49" s="44" t="str">
        <x:v>未実施</x:v>
      </x:c>
      <x:c r="J49" s="39" t="str">
        <x:v>予定一覧の横スクロールはセクション内のみ許可</x:v>
      </x:c>
    </x:row>
    <x:row r="50" ht="15.75" customHeight="1">
      <x:c r="A50" s="39" t="str">
        <x:v>TC-049</x:v>
      </x:c>
      <x:c r="B50" s="39" t="str">
        <x:v>UI</x:v>
      </x:c>
      <x:c r="C50" s="39" t="str">
        <x:v>回答画面入力UI</x:v>
      </x:c>
      <x:c r="D50" s="39" t="str">
        <x:v>回答画面</x:v>
      </x:c>
      <x:c r="E50" s="39" t="str">
        <x:v>radio/chip/map等を操作</x:v>
      </x:c>
      <x:c r="F50" s="39" t="str">
        <x:v>選択状態と必須条件が明確で操作しやすい</x:v>
      </x:c>
      <x:c r="G50" s="39" t="str">
        <x:v>デプロイ前</x:v>
      </x:c>
      <x:c r="H50" s="43" t="str">
        <x:v>中</x:v>
      </x:c>
      <x:c r="I50" s="43" t="str">
        <x:v>未実施</x:v>
      </x:c>
      <x:c r="J50" s="39" t="str">
        <x:v>交通方針分岐を含む</x:v>
      </x:c>
    </x:row>
    <x:row r="51" ht="15.75" customHeight="1">
      <x:c r="A51" s="39" t="str">
        <x:v>TC-050</x:v>
      </x:c>
      <x:c r="B51" s="39" t="str">
        <x:v>異常系</x:v>
      </x:c>
      <x:c r="C51" s="39" t="str">
        <x:v>通信失敗</x:v>
      </x:c>
      <x:c r="D51" s="39" t="str">
        <x:v>通信遮断等</x:v>
      </x:c>
      <x:c r="E51" s="39" t="str">
        <x:v>取得/保存を実行</x:v>
      </x:c>
      <x:c r="F51" s="39" t="str">
        <x:v>無限ローディングや誤成功にならずError状態になる</x:v>
      </x:c>
      <x:c r="G51" s="39" t="str">
        <x:v>デプロイ後</x:v>
      </x:c>
      <x:c r="H51" s="43" t="str">
        <x:v>中</x:v>
      </x:c>
      <x:c r="I51" s="43" t="str">
        <x:v>未実施</x:v>
      </x:c>
      <x:c r="J51" s="39" t="str"/>
    </x:row>
    <x:row r="52" ht="15.75" customHeight="1">
      <x:c r="A52" s="39" t="str">
        <x:v>TC-051</x:v>
      </x:c>
      <x:c r="B52" s="39" t="str">
        <x:v>異常系</x:v>
      </x:c>
      <x:c r="C52" s="39" t="str">
        <x:v>存在しない予定ID</x:v>
      </x:c>
      <x:c r="D52" s="39" t="str">
        <x:v>なし</x:v>
      </x:c>
      <x:c r="E52" s="39" t="str">
        <x:v>存在しない詳細URLへアクセス</x:v>
      </x:c>
      <x:c r="F52" s="39" t="str">
        <x:v>予定が見つからない旨が表示される</x:v>
      </x:c>
      <x:c r="G52" s="39" t="str">
        <x:v>デプロイ前</x:v>
      </x:c>
      <x:c r="H52" s="43" t="str">
        <x:v>中</x:v>
      </x:c>
      <x:c r="I52" s="44" t="str">
        <x:v>OK</x:v>
      </x:c>
      <x:c r="J52" s="39" t="str"/>
    </x:row>
    <x:row r="53" ht="15.75" customHeight="1">
      <x:c r="A53" s="39" t="str">
        <x:v>TC-052</x:v>
      </x:c>
      <x:c r="B53" s="39" t="str">
        <x:v>異常系</x:v>
      </x:c>
      <x:c r="C53" s="39" t="str">
        <x:v>送信連打</x:v>
      </x:c>
      <x:c r="D53" s="39" t="str">
        <x:v>作成/回答画面</x:v>
      </x:c>
      <x:c r="E53" s="39" t="str">
        <x:v>送信を短時間に複数回操作</x:v>
      </x:c>
      <x:c r="F53" s="39" t="str">
        <x:v>loading中はbutton disabledとなり重複データが生成されない</x:v>
      </x:c>
      <x:c r="G53" s="39" t="str">
        <x:v>デプロイ後</x:v>
      </x:c>
      <x:c r="H53" s="43" t="str">
        <x:v>中</x:v>
      </x:c>
      <x:c r="I53" s="44" t="str">
        <x:v>未実施</x:v>
      </x:c>
      <x:c r="J53" s="39" t="str">
        <x:v>async対応後に再実施</x:v>
      </x:c>
    </x:row>
    <x:row r="54" ht="15.75" customHeight="1">
      <x:c r="A54" s="39" t="str">
        <x:v>TC-053</x:v>
      </x:c>
      <x:c r="B54" s="39" t="str">
        <x:v>回帰</x:v>
      </x:c>
      <x:c r="C54" s="39" t="str">
        <x:v>UI_TEST_DATASET_V3全状態</x:v>
      </x:c>
      <x:c r="D54" s="39" t="str">
        <x:v>V3投入済み</x:v>
      </x:c>
      <x:c r="E54" s="39" t="str">
        <x:v>各テスト予定を順に開く</x:v>
      </x:c>
      <x:c r="F54" s="39" t="str">
        <x:v>交通方針・投票・各状態・境界パターンが期待どおり表示</x:v>
      </x:c>
      <x:c r="G54" s="39" t="str">
        <x:v>デプロイ前</x:v>
      </x:c>
      <x:c r="H54" s="43" t="str">
        <x:v>高</x:v>
      </x:c>
      <x:c r="I54" s="43" t="str">
        <x:v>未実施</x:v>
      </x:c>
      <x:c r="J54" s="39" t="str">
        <x:v>V2からV3へ更新</x:v>
      </x:c>
    </x:row>
    <x:row r="55" ht="15.75" customHeight="1">
      <x:c r="A55" s="31" t="str">
        <x:v>TC-054</x:v>
      </x:c>
      <x:c r="B55" s="31" t="str">
        <x:v>予定作成</x:v>
      </x:c>
      <x:c r="C55" s="31" t="str">
        <x:v>候補期間は最大3暦月</x:v>
      </x:c>
      <x:c r="D55" s="31" t="str">
        <x:v>予定作成画面</x:v>
      </x:c>
      <x:c r="E55" s="31" t="str">
        <x:v>開始日から3か月超の終了日を指定</x:v>
      </x:c>
      <x:c r="F55" s="31" t="str">
        <x:v>作成できず「候補期間は最大3か月です。」が表示される</x:v>
      </x:c>
      <x:c r="G55" s="31" t="str">
        <x:v>デプロイ前</x:v>
      </x:c>
      <x:c r="H55" s="44" t="str">
        <x:v>高</x:v>
      </x:c>
      <x:c r="I55" s="44" t="str">
        <x:v>未実施</x:v>
      </x:c>
      <x:c r="J55" s="31" t="str"/>
    </x:row>
    <x:row r="56" ht="15.75" customHeight="1">
      <x:c r="A56" s="31" t="str">
        <x:v>TC-055</x:v>
      </x:c>
      <x:c r="B56" s="31" t="str">
        <x:v>予定作成</x:v>
      </x:c>
      <x:c r="C56" s="31" t="str">
        <x:v>3暦月の月末クランプ</x:v>
      </x:c>
      <x:c r="D56" s="31" t="str">
        <x:v>予定作成画面</x:v>
      </x:c>
      <x:c r="E56" s="31" t="str">
        <x:v>8/31→11/30、11/30→翌2月末などを指定</x:v>
      </x:c>
      <x:c r="F56" s="31" t="str">
        <x:v>max日付が対象月末へ正しくクランプされる</x:v>
      </x:c>
      <x:c r="G56" s="31" t="str">
        <x:v>デプロイ前</x:v>
      </x:c>
      <x:c r="H56" s="44" t="str">
        <x:v>中</x:v>
      </x:c>
      <x:c r="I56" s="44" t="str">
        <x:v>未実施</x:v>
      </x:c>
      <x:c r="J56" s="31" t="str">
        <x:v>閏年含む</x:v>
      </x:c>
    </x:row>
    <x:row r="57" ht="15.75" customHeight="1">
      <x:c r="A57" s="31" t="str">
        <x:v>TC-056</x:v>
      </x:c>
      <x:c r="B57" s="31" t="str">
        <x:v>予定作成</x:v>
      </x:c>
      <x:c r="C57" s="31" t="str">
        <x:v>移動方針flexibleが初期選択</x:v>
      </x:c>
      <x:c r="D57" s="31" t="str">
        <x:v>予定作成画面</x:v>
      </x:c>
      <x:c r="E57" s="31" t="str">
        <x:v>画面を開く</x:v>
      </x:c>
      <x:c r="F57" s="31" t="str">
        <x:v>「各自で選ぶ」が選択され説明文が表示される</x:v>
      </x:c>
      <x:c r="G57" s="31" t="str">
        <x:v>デプロイ前</x:v>
      </x:c>
      <x:c r="H57" s="44" t="str">
        <x:v>中</x:v>
      </x:c>
      <x:c r="I57" s="44" t="str">
        <x:v>未実施</x:v>
      </x:c>
      <x:c r="J57" s="31" t="str"/>
    </x:row>
    <x:row r="58" ht="15.75" customHeight="1">
      <x:c r="A58" s="31" t="str">
        <x:v>TC-057</x:v>
      </x:c>
      <x:c r="B58" s="31" t="str">
        <x:v>予定作成</x:v>
      </x:c>
      <x:c r="C58" s="31" t="str">
        <x:v>移動方針transitを選択できる</x:v>
      </x:c>
      <x:c r="D58" s="31" t="str">
        <x:v>予定作成画面</x:v>
      </x:c>
      <x:c r="E58" s="31" t="str">
        <x:v>「電車で行く」を選び作成</x:v>
      </x:c>
      <x:c r="F58" s="31" t="str">
        <x:v>transport_policy=transitで保存される</x:v>
      </x:c>
      <x:c r="G58" s="31" t="str">
        <x:v>デプロイ後</x:v>
      </x:c>
      <x:c r="H58" s="44" t="str">
        <x:v>高</x:v>
      </x:c>
      <x:c r="I58" s="44" t="str">
        <x:v>未実施</x:v>
      </x:c>
      <x:c r="J58" s="31" t="str"/>
    </x:row>
    <x:row r="59" ht="15.75" customHeight="1">
      <x:c r="A59" s="31" t="str">
        <x:v>TC-058</x:v>
      </x:c>
      <x:c r="B59" s="31" t="str">
        <x:v>回答</x:v>
      </x:c>
      <x:c r="C59" s="31" t="str">
        <x:v>transit予定は移動手段固定</x:v>
      </x:c>
      <x:c r="D59" s="31" t="str">
        <x:v>transit予定</x:v>
      </x:c>
      <x:c r="E59" s="31" t="str">
        <x:v>条件入力を開く</x:v>
      </x:c>
      <x:c r="F59" s="31" t="str">
        <x:v>移動手段選択/出発地点/移動時間が出ず、希望エリア1件以上が必須</x:v>
      </x:c>
      <x:c r="G59" s="31" t="str">
        <x:v>デプロイ前</x:v>
      </x:c>
      <x:c r="H59" s="44" t="str">
        <x:v>高</x:v>
      </x:c>
      <x:c r="I59" s="44" t="str">
        <x:v>未実施</x:v>
      </x:c>
      <x:c r="J59" s="31" t="str"/>
    </x:row>
    <x:row r="60" ht="15.75" customHeight="1">
      <x:c r="A60" s="31" t="str">
        <x:v>TC-059</x:v>
      </x:c>
      <x:c r="B60" s="31" t="str">
        <x:v>回答</x:v>
      </x:c>
      <x:c r="C60" s="31" t="str">
        <x:v>transit回答のNULL整合性</x:v>
      </x:c>
      <x:c r="D60" s="31" t="str">
        <x:v>transit予定</x:v>
      </x:c>
      <x:c r="E60" s="31" t="str">
        <x:v>回答を保存</x:v>
      </x:c>
      <x:c r="F60" s="31" t="str">
        <x:v>transport_mode=transit、departure/lat/lng/travel_time=NULLで保存</x:v>
      </x:c>
      <x:c r="G60" s="31" t="str">
        <x:v>デプロイ後</x:v>
      </x:c>
      <x:c r="H60" s="44" t="str">
        <x:v>高</x:v>
      </x:c>
      <x:c r="I60" s="44" t="str">
        <x:v>未実施</x:v>
      </x:c>
      <x:c r="J60" s="31" t="str">
        <x:v>responses_transport_consistency</x:v>
      </x:c>
    </x:row>
    <x:row r="61" ht="15.75" customHeight="1">
      <x:c r="A61" s="31" t="str">
        <x:v>TC-060</x:v>
      </x:c>
      <x:c r="B61" s="31" t="str">
        <x:v>回答</x:v>
      </x:c>
      <x:c r="C61" s="31" t="str">
        <x:v>flexible徒歩の必須条件</x:v>
      </x:c>
      <x:c r="D61" s="31" t="str">
        <x:v>flexible予定</x:v>
      </x:c>
      <x:c r="E61" s="31" t="str">
        <x:v>徒歩を選択</x:v>
      </x:c>
      <x:c r="F61" s="31" t="str">
        <x:v>出発地点・座標・10〜60分が必須となる</x:v>
      </x:c>
      <x:c r="G61" s="31" t="str">
        <x:v>デプロイ前</x:v>
      </x:c>
      <x:c r="H61" s="44" t="str">
        <x:v>高</x:v>
      </x:c>
      <x:c r="I61" s="44" t="str">
        <x:v>未実施</x:v>
      </x:c>
      <x:c r="J61" s="31" t="str"/>
    </x:row>
    <x:row r="62" ht="15.75" customHeight="1">
      <x:c r="A62" s="31" t="str">
        <x:v>TC-061</x:v>
      </x:c>
      <x:c r="B62" s="31" t="str">
        <x:v>回答</x:v>
      </x:c>
      <x:c r="C62" s="31" t="str">
        <x:v>flexible車の必須条件</x:v>
      </x:c>
      <x:c r="D62" s="31" t="str">
        <x:v>flexible予定</x:v>
      </x:c>
      <x:c r="E62" s="31" t="str">
        <x:v>車を選択</x:v>
      </x:c>
      <x:c r="F62" s="31" t="str">
        <x:v>出発地点・座標・30〜180分が必須となる</x:v>
      </x:c>
      <x:c r="G62" s="31" t="str">
        <x:v>デプロイ前</x:v>
      </x:c>
      <x:c r="H62" s="44" t="str">
        <x:v>高</x:v>
      </x:c>
      <x:c r="I62" s="44" t="str">
        <x:v>未実施</x:v>
      </x:c>
      <x:c r="J62" s="31" t="str"/>
    </x:row>
    <x:row r="63" ht="15.75" customHeight="1">
      <x:c r="A63" s="31" t="str">
        <x:v>TC-062</x:v>
      </x:c>
      <x:c r="B63" s="31" t="str">
        <x:v>回答</x:v>
      </x:c>
      <x:c r="C63" s="31" t="str">
        <x:v>flexible条件なし</x:v>
      </x:c>
      <x:c r="D63" s="31" t="str">
        <x:v>flexible予定</x:v>
      </x:c>
      <x:c r="E63" s="31" t="str">
        <x:v>条件なしを選択して保存</x:v>
      </x:c>
      <x:c r="F63" s="31" t="str">
        <x:v>departure/lat/lng/travel_time=NULLで保存できる</x:v>
      </x:c>
      <x:c r="G63" s="31" t="str">
        <x:v>デプロイ後</x:v>
      </x:c>
      <x:c r="H63" s="44" t="str">
        <x:v>高</x:v>
      </x:c>
      <x:c r="I63" s="44" t="str">
        <x:v>未実施</x:v>
      </x:c>
      <x:c r="J63" s="31" t="str"/>
    </x:row>
    <x:row r="64" ht="15.75" customHeight="1">
      <x:c r="A64" s="31" t="str">
        <x:v>TC-063</x:v>
      </x:c>
      <x:c r="B64" s="31" t="str">
        <x:v>回答</x:v>
      </x:c>
      <x:c r="C64" s="31" t="str">
        <x:v>preferredAreas最大5票</x:v>
      </x:c>
      <x:c r="D64" s="31" t="str">
        <x:v>回答画面</x:v>
      </x:c>
      <x:c r="E64" s="31" t="str">
        <x:v>6件目を追加しようとする</x:v>
      </x:c>
      <x:c r="F64" s="31" t="str">
        <x:v>5件を超えて登録できない</x:v>
      </x:c>
      <x:c r="G64" s="31" t="str">
        <x:v>デプロイ前</x:v>
      </x:c>
      <x:c r="H64" s="44" t="str">
        <x:v>高</x:v>
      </x:c>
      <x:c r="I64" s="44" t="str">
        <x:v>未実施</x:v>
      </x:c>
      <x:c r="J64" s="31" t="str">
        <x:v>DB CHECK含む</x:v>
      </x:c>
    </x:row>
    <x:row r="65" ht="15.75" customHeight="1">
      <x:c r="A65" s="31" t="str">
        <x:v>TC-064</x:v>
      </x:c>
      <x:c r="B65" s="31" t="str">
        <x:v>回答</x:v>
      </x:c>
      <x:c r="C65" s="31" t="str">
        <x:v>preferredAreas重複票</x:v>
      </x:c>
      <x:c r="D65" s="31" t="str">
        <x:v>回答画面</x:v>
      </x:c>
      <x:c r="E65" s="31" t="str">
        <x:v>同じ文字列を複数回登録し保存</x:v>
      </x:c>
      <x:c r="F65" s="31" t="str">
        <x:v>重複が保持され、集計では各要素が1票として数えられる</x:v>
      </x:c>
      <x:c r="G65" s="31" t="str">
        <x:v>デプロイ後</x:v>
      </x:c>
      <x:c r="H65" s="44" t="str">
        <x:v>中</x:v>
      </x:c>
      <x:c r="I65" s="44" t="str">
        <x:v>未実施</x:v>
      </x:c>
      <x:c r="J65" s="31" t="str"/>
    </x:row>
    <x:row r="66" ht="15.75" customHeight="1">
      <x:c r="A66" s="31" t="str">
        <x:v>TC-065</x:v>
      </x:c>
      <x:c r="B66" s="31" t="str">
        <x:v>Geoapify</x:v>
      </x:c>
      <x:c r="C66" s="31" t="str">
        <x:v>Forward Geocoding</x:v>
      </x:c>
      <x:c r="D66" s="31" t="str">
        <x:v>flexible徒歩/車</x:v>
      </x:c>
      <x:c r="E66" s="31" t="str">
        <x:v>地名を入力して地点確定</x:v>
      </x:c>
      <x:c r="F66" s="31" t="str">
        <x:v>緯度経度が取得され地図へ反映される</x:v>
      </x:c>
      <x:c r="G66" s="31" t="str">
        <x:v>デプロイ後</x:v>
      </x:c>
      <x:c r="H66" s="44" t="str">
        <x:v>中</x:v>
      </x:c>
      <x:c r="I66" s="44" t="str">
        <x:v>未実施</x:v>
      </x:c>
      <x:c r="J66" s="31" t="str"/>
    </x:row>
    <x:row r="67" ht="15.75" customHeight="1">
      <x:c r="A67" s="31" t="str">
        <x:v>TC-066</x:v>
      </x:c>
      <x:c r="B67" s="31" t="str">
        <x:v>Geoapify</x:v>
      </x:c>
      <x:c r="C67" s="31" t="str">
        <x:v>Reverse Geocoding</x:v>
      </x:c>
      <x:c r="D67" s="31" t="str">
        <x:v>flexible徒歩/車</x:v>
      </x:c>
      <x:c r="E67" s="31" t="str">
        <x:v>地図上の地点を選択</x:v>
      </x:c>
      <x:c r="F67" s="31" t="str">
        <x:v>住所・地名が取得され出発地点へ反映される</x:v>
      </x:c>
      <x:c r="G67" s="31" t="str">
        <x:v>デプロイ後</x:v>
      </x:c>
      <x:c r="H67" s="44" t="str">
        <x:v>中</x:v>
      </x:c>
      <x:c r="I67" s="44" t="str">
        <x:v>未実施</x:v>
      </x:c>
      <x:c r="J67" s="31" t="str"/>
    </x:row>
    <x:row r="68" ht="15.75" customHeight="1">
      <x:c r="A68" s="31" t="str">
        <x:v>TC-067</x:v>
      </x:c>
      <x:c r="B68" s="31" t="str">
        <x:v>集計</x:v>
      </x:c>
      <x:c r="C68" s="31" t="str">
        <x:v>徒歩の簡易移動範囲</x:v>
      </x:c>
      <x:c r="D68" s="31" t="str">
        <x:v>walking回答あり</x:v>
      </x:c>
      <x:c r="E68" s="31" t="str">
        <x:v>集計結果を開く</x:v>
      </x:c>
      <x:c r="F68" s="31" t="str">
        <x:v>半径=travelTime×100mの円が表示される</x:v>
      </x:c>
      <x:c r="G68" s="31" t="str">
        <x:v>デプロイ前</x:v>
      </x:c>
      <x:c r="H68" s="44" t="str">
        <x:v>中</x:v>
      </x:c>
      <x:c r="I68" s="44" t="str">
        <x:v>未実施</x:v>
      </x:c>
      <x:c r="J68" s="31" t="str">
        <x:v>直線距離概算</x:v>
      </x:c>
    </x:row>
    <x:row r="69" ht="15.75" customHeight="1">
      <x:c r="A69" s="31" t="str">
        <x:v>TC-068</x:v>
      </x:c>
      <x:c r="B69" s="31" t="str">
        <x:v>集計</x:v>
      </x:c>
      <x:c r="C69" s="31" t="str">
        <x:v>車の簡易移動範囲</x:v>
      </x:c>
      <x:c r="D69" s="31" t="str">
        <x:v>driving回答あり</x:v>
      </x:c>
      <x:c r="E69" s="31" t="str">
        <x:v>集計結果を開く</x:v>
      </x:c>
      <x:c r="F69" s="31" t="str">
        <x:v>半径=travelTime×500mの円が表示される</x:v>
      </x:c>
      <x:c r="G69" s="31" t="str">
        <x:v>デプロイ前</x:v>
      </x:c>
      <x:c r="H69" s="44" t="str">
        <x:v>中</x:v>
      </x:c>
      <x:c r="I69" s="44" t="str">
        <x:v>未実施</x:v>
      </x:c>
      <x:c r="J69" s="31" t="str">
        <x:v>直線距離概算</x:v>
      </x:c>
    </x:row>
    <x:row r="70" ht="15.75" customHeight="1">
      <x:c r="A70" s="31" t="str">
        <x:v>TC-069</x:v>
      </x:c>
      <x:c r="B70" s="31" t="str">
        <x:v>集計</x:v>
      </x:c>
      <x:c r="C70" s="31" t="str">
        <x:v>transitは範囲地図なし</x:v>
      </x:c>
      <x:c r="D70" s="31" t="str">
        <x:v>transit予定</x:v>
      </x:c>
      <x:c r="E70" s="31" t="str">
        <x:v>集計結果を開く</x:v>
      </x:c>
      <x:c r="F70" s="31" t="str">
        <x:v>移動範囲地図・徒歩/車時間集計が表示されない</x:v>
      </x:c>
      <x:c r="G70" s="31" t="str">
        <x:v>デプロイ前</x:v>
      </x:c>
      <x:c r="H70" s="44" t="str">
        <x:v>中</x:v>
      </x:c>
      <x:c r="I70" s="44" t="str">
        <x:v>未実施</x:v>
      </x:c>
      <x:c r="J70" s="31" t="str"/>
    </x:row>
    <x:row r="71" ht="15.75" customHeight="1">
      <x:c r="A71" s="31" t="str">
        <x:v>TC-070</x:v>
      </x:c>
      <x:c r="B71" s="31" t="str">
        <x:v>集計</x:v>
      </x:c>
      <x:c r="C71" s="31" t="str">
        <x:v>回答0件Empty</x:v>
      </x:c>
      <x:c r="D71" s="31" t="str">
        <x:v>参加者はいるがresponse 0件</x:v>
      </x:c>
      <x:c r="E71" s="31" t="str">
        <x:v>集計結果を直接開く</x:v>
      </x:c>
      <x:c r="F71" s="31" t="str">
        <x:v>「まだ回答がありません」が表示される</x:v>
      </x:c>
      <x:c r="G71" s="31" t="str">
        <x:v>デプロイ前</x:v>
      </x:c>
      <x:c r="H71" s="44" t="str">
        <x:v>高</x:v>
      </x:c>
      <x:c r="I71" s="44" t="str">
        <x:v>未実施</x:v>
      </x:c>
      <x:c r="J71" s="31" t="str"/>
    </x:row>
    <x:row r="72" ht="15.75" customHeight="1">
      <x:c r="A72" s="31" t="str">
        <x:v>TC-071</x:v>
      </x:c>
      <x:c r="B72" s="31" t="str">
        <x:v>集計</x:v>
      </x:c>
      <x:c r="C72" s="31" t="str">
        <x:v>上位約3件と同票保持</x:v>
      </x:c>
      <x:c r="D72" s="31" t="str">
        <x:v>日付/活動/エリアに同票あり</x:v>
      </x:c>
      <x:c r="E72" s="31" t="str">
        <x:v>集計結果を開く</x:v>
      </x:c>
      <x:c r="F72" s="31" t="str">
        <x:v>3件目と同票のグループを途中で切らず表示する</x:v>
      </x:c>
      <x:c r="G72" s="31" t="str">
        <x:v>デプロイ前</x:v>
      </x:c>
      <x:c r="H72" s="44" t="str">
        <x:v>中</x:v>
      </x:c>
      <x:c r="I72" s="44" t="str">
        <x:v>未実施</x:v>
      </x:c>
      <x:c r="J72" s="31" t="str"/>
    </x:row>
    <x:row r="73" ht="15.75" customHeight="1">
      <x:c r="A73" s="31" t="str">
        <x:v>TC-072</x:v>
      </x:c>
      <x:c r="B73" s="31" t="str">
        <x:v>集計</x:v>
      </x:c>
      <x:c r="C73" s="31" t="str">
        <x:v>何でもOKの活動一致</x:v>
      </x:c>
      <x:c r="D73" s="31" t="str">
        <x:v>具体活動と何でもOKが混在</x:v>
      </x:c>
      <x:c r="E73" s="31" t="str">
        <x:v>集計結果を開く</x:v>
      </x:c>
      <x:c r="F73" s="31" t="str">
        <x:v>何でもOK回答が各具体活動の一致人数へ加算される</x:v>
      </x:c>
      <x:c r="G73" s="31" t="str">
        <x:v>デプロイ前</x:v>
      </x:c>
      <x:c r="H73" s="44" t="str">
        <x:v>高</x:v>
      </x:c>
      <x:c r="I73" s="44" t="str">
        <x:v>未実施</x:v>
      </x:c>
      <x:c r="J73" s="31" t="str"/>
    </x:row>
    <x:row r="74" ht="15.75" customHeight="1">
      <x:c r="A74" s="31" t="str">
        <x:v>TC-073</x:v>
      </x:c>
      <x:c r="B74" s="31" t="str">
        <x:v>ホーム</x:v>
      </x:c>
      <x:c r="C74" s="31" t="str">
        <x:v>回答待ち状態を表示</x:v>
      </x:c>
      <x:c r="D74" s="31" t="str">
        <x:v>自分回答済み・他人未回答</x:v>
      </x:c>
      <x:c r="E74" s="31" t="str">
        <x:v>ホームを開く</x:v>
      </x:c>
      <x:c r="F74" s="31" t="str">
        <x:v>「みんなの回答を待っています」と「予定を見る」が表示</x:v>
      </x:c>
      <x:c r="G74" s="31" t="str">
        <x:v>デプロイ前</x:v>
      </x:c>
      <x:c r="H74" s="44" t="str">
        <x:v>高</x:v>
      </x:c>
      <x:c r="I74" s="44" t="str">
        <x:v>未実施</x:v>
      </x:c>
      <x:c r="J74" s="31" t="str"/>
    </x:row>
    <x:row r="75" ht="15.75" customHeight="1">
      <x:c r="A75" s="31" t="str">
        <x:v>TC-074</x:v>
      </x:c>
      <x:c r="B75" s="31" t="str">
        <x:v>ホーム</x:v>
      </x:c>
      <x:c r="C75" s="31" t="str">
        <x:v>各状態最大1件・安定sort</x:v>
      </x:c>
      <x:c r="D75" s="31" t="str">
        <x:v>各状態に複数予定</x:v>
      </x:c>
      <x:c r="E75" s="31" t="str">
        <x:v>ホームを開く</x:v>
      </x:c>
      <x:c r="F75" s="31" t="str">
        <x:v>startDate→endDate→id昇順の先頭だけ表示</x:v>
      </x:c>
      <x:c r="G75" s="31" t="str">
        <x:v>デプロイ前</x:v>
      </x:c>
      <x:c r="H75" s="44" t="str">
        <x:v>高</x:v>
      </x:c>
      <x:c r="I75" s="44" t="str">
        <x:v>未実施</x:v>
      </x:c>
      <x:c r="J75" s="31" t="str"/>
    </x:row>
    <x:row r="76" ht="15.75" customHeight="1">
      <x:c r="A76" s="31" t="str">
        <x:v>TC-075</x:v>
      </x:c>
      <x:c r="B76" s="31" t="str">
        <x:v>予定一覧</x:v>
      </x:c>
      <x:c r="C76" s="31" t="str">
        <x:v>3セクション件数表示</x:v>
      </x:c>
      <x:c r="D76" s="31" t="str">
        <x:v>3状態すべてにactive予定あり</x:v>
      </x:c>
      <x:c r="E76" s="31" t="str">
        <x:v>予定一覧を開く</x:v>
      </x:c>
      <x:c r="F76" s="31" t="str">
        <x:v>3セクションが表示され各見出しに件数が出る</x:v>
      </x:c>
      <x:c r="G76" s="31" t="str">
        <x:v>デプロイ前</x:v>
      </x:c>
      <x:c r="H76" s="44" t="str">
        <x:v>高</x:v>
      </x:c>
      <x:c r="I76" s="44" t="str">
        <x:v>未実施</x:v>
      </x:c>
      <x:c r="J76" s="31" t="str"/>
    </x:row>
    <x:row r="77" ht="15.75" customHeight="1">
      <x:c r="A77" s="31" t="str">
        <x:v>TC-076</x:v>
      </x:c>
      <x:c r="B77" s="31" t="str">
        <x:v>予定一覧</x:v>
      </x:c>
      <x:c r="C77" s="31" t="str">
        <x:v>空セクション非表示</x:v>
      </x:c>
      <x:c r="D77" s="31" t="str">
        <x:v>一部状態だけ予定あり</x:v>
      </x:c>
      <x:c r="E77" s="31" t="str">
        <x:v>予定一覧を開く</x:v>
      </x:c>
      <x:c r="F77" s="31" t="str">
        <x:v>0件のセクションはDOMに表示されない</x:v>
      </x:c>
      <x:c r="G77" s="31" t="str">
        <x:v>デプロイ前</x:v>
      </x:c>
      <x:c r="H77" s="44" t="str">
        <x:v>中</x:v>
      </x:c>
      <x:c r="I77" s="44" t="str">
        <x:v>未実施</x:v>
      </x:c>
      <x:c r="J77" s="31" t="str"/>
    </x:row>
    <x:row r="78" ht="15.75" customHeight="1">
      <x:c r="A78" s="31" t="str">
        <x:v>TC-077</x:v>
      </x:c>
      <x:c r="B78" s="31" t="str">
        <x:v>予定一覧</x:v>
      </x:c>
      <x:c r="C78" s="31" t="str">
        <x:v>横スクロールUI</x:v>
      </x:c>
      <x:c r="D78" s="31" t="str">
        <x:v>同一状態に複数予定</x:v>
      </x:c>
      <x:c r="E78" s="31" t="str">
        <x:v>360〜375pxで予定一覧を開く</x:v>
      </x:c>
      <x:c r="F78" s="31" t="str">
        <x:v>カード幅約88%、次カードが少し見え、snapが自然</x:v>
      </x:c>
      <x:c r="G78" s="31" t="str">
        <x:v>デプロイ前</x:v>
      </x:c>
      <x:c r="H78" s="44" t="str">
        <x:v>高</x:v>
      </x:c>
      <x:c r="I78" s="44" t="str">
        <x:v>未実施</x:v>
      </x:c>
      <x:c r="J78" s="31" t="str"/>
    </x:row>
    <x:row r="79" ht="15.75" customHeight="1">
      <x:c r="A79" s="31" t="str">
        <x:v>TC-078</x:v>
      </x:c>
      <x:c r="B79" s="31" t="str">
        <x:v>予定一覧</x:v>
      </x:c>
      <x:c r="C79" s="31" t="str">
        <x:v>ScheduleCardは5要素だけ</x:v>
      </x:c>
      <x:c r="D79" s="31" t="str">
        <x:v>予定あり</x:v>
      </x:c>
      <x:c r="E79" s="31" t="str">
        <x:v>カードを確認</x:v>
      </x:c>
      <x:c r="F79" s="31" t="str">
        <x:v>予定名/日程/回答進捗/自分の状態/chevronのみ表示</x:v>
      </x:c>
      <x:c r="G79" s="31" t="str">
        <x:v>デプロイ前</x:v>
      </x:c>
      <x:c r="H79" s="44" t="str">
        <x:v>中</x:v>
      </x:c>
      <x:c r="I79" s="44" t="str">
        <x:v>未実施</x:v>
      </x:c>
      <x:c r="J79" s="31" t="str"/>
    </x:row>
    <x:row r="80" ht="15.75" customHeight="1">
      <x:c r="A80" s="31" t="str">
        <x:v>TC-079</x:v>
      </x:c>
      <x:c r="B80" s="31" t="str">
        <x:v>予定一覧</x:v>
      </x:c>
      <x:c r="C80" s="31" t="str">
        <x:v>全カードは予定詳細へ</x:v>
      </x:c>
      <x:c r="D80" s="31" t="str">
        <x:v>3状態すべてのカードあり</x:v>
      </x:c>
      <x:c r="E80" s="31" t="str">
        <x:v>各カードをタップ</x:v>
      </x:c>
      <x:c r="F80" s="31" t="str">
        <x:v>すべてScheduleDetailへ遷移する</x:v>
      </x:c>
      <x:c r="G80" s="31" t="str">
        <x:v>デプロイ前</x:v>
      </x:c>
      <x:c r="H80" s="44" t="str">
        <x:v>高</x:v>
      </x:c>
      <x:c r="I80" s="44" t="str">
        <x:v>未実施</x:v>
      </x:c>
      <x:c r="J80" s="31" t="str"/>
    </x:row>
    <x:row r="81" ht="15.75" customHeight="1">
      <x:c r="A81" s="31" t="str">
        <x:v>TC-080</x:v>
      </x:c>
      <x:c r="B81" s="31" t="str">
        <x:v>予定一覧</x:v>
      </x:c>
      <x:c r="C81" s="31" t="str">
        <x:v>completedは表示しない</x:v>
      </x:c>
      <x:c r="D81" s="31" t="str">
        <x:v>completed予定あり</x:v>
      </x:c>
      <x:c r="E81" s="31" t="str">
        <x:v>Home/予定一覧を開く</x:v>
      </x:c>
      <x:c r="F81" s="31" t="str">
        <x:v>completed予定が両画面に表示されない</x:v>
      </x:c>
      <x:c r="G81" s="31" t="str">
        <x:v>デプロイ前</x:v>
      </x:c>
      <x:c r="H81" s="44" t="str">
        <x:v>高</x:v>
      </x:c>
      <x:c r="I81" s="44" t="str">
        <x:v>未実施</x:v>
      </x:c>
      <x:c r="J81" s="31" t="str"/>
    </x:row>
    <x:row r="82" ht="15.75" customHeight="1">
      <x:c r="A82" s="31" t="str">
        <x:v>TC-081</x:v>
      </x:c>
      <x:c r="B82" s="31" t="str">
        <x:v>日付表示</x:v>
      </x:c>
      <x:c r="C82" s="31" t="str">
        <x:v>同一年の期間表示</x:v>
      </x:c>
      <x:c r="D82" s="31" t="str">
        <x:v>同一年予定</x:v>
      </x:c>
      <x:c r="E82" s="31" t="str">
        <x:v>Home/List/Detailを確認</x:v>
      </x:c>
      <x:c r="F82" s="31" t="str">
        <x:v>MM/DD 〜 MM/DDで統一される</x:v>
      </x:c>
      <x:c r="G82" s="31" t="str">
        <x:v>デプロイ前</x:v>
      </x:c>
      <x:c r="H82" s="44" t="str">
        <x:v>中</x:v>
      </x:c>
      <x:c r="I82" s="44" t="str">
        <x:v>未実施</x:v>
      </x:c>
      <x:c r="J82" s="31" t="str"/>
    </x:row>
    <x:row r="83" ht="15.75" customHeight="1">
      <x:c r="A83" s="31" t="str">
        <x:v>TC-082</x:v>
      </x:c>
      <x:c r="B83" s="31" t="str">
        <x:v>日付表示</x:v>
      </x:c>
      <x:c r="C83" s="31" t="str">
        <x:v>年またぎの期間表示</x:v>
      </x:c>
      <x:c r="D83" s="31" t="str">
        <x:v>年またぎ予定</x:v>
      </x:c>
      <x:c r="E83" s="31" t="str">
        <x:v>Home/List/Detailを確認</x:v>
      </x:c>
      <x:c r="F83" s="31" t="str">
        <x:v>YYYY/MM/DD 〜 YYYY/MM/DDで表示される</x:v>
      </x:c>
      <x:c r="G83" s="31" t="str">
        <x:v>デプロイ前</x:v>
      </x:c>
      <x:c r="H83" s="44" t="str">
        <x:v>中</x:v>
      </x:c>
      <x:c r="I83" s="44" t="str">
        <x:v>未実施</x:v>
      </x:c>
      <x:c r="J83" s="31" t="str"/>
    </x:row>
    <x:row r="84" ht="15.75" customHeight="1">
      <x:c r="A84" s="31" t="str">
        <x:v>TC-083</x:v>
      </x:c>
      <x:c r="B84" s="31" t="str">
        <x:v>非同期</x:v>
      </x:c>
      <x:c r="C84" s="31" t="str">
        <x:v>予定取得Loading/Error分離</x:v>
      </x:c>
      <x:c r="D84" s="31" t="str">
        <x:v>通信遅延/失敗を再現</x:v>
      </x:c>
      <x:c r="E84" s="31" t="str">
        <x:v>Home/List/Detail/Resultを開く</x:v>
      </x:c>
      <x:c r="F84" s="31" t="str">
        <x:v>Loading/Error/Empty/Not Foundが誤混同されない</x:v>
      </x:c>
      <x:c r="G84" s="31" t="str">
        <x:v>デプロイ後</x:v>
      </x:c>
      <x:c r="H84" s="44" t="str">
        <x:v>高</x:v>
      </x:c>
      <x:c r="I84" s="44" t="str">
        <x:v>未実施</x:v>
      </x:c>
      <x:c r="J84" s="31" t="str"/>
    </x:row>
    <x:row r="85" ht="15.75" customHeight="1">
      <x:c r="A85" s="31" t="str">
        <x:v>TC-084</x:v>
      </x:c>
      <x:c r="B85" s="31" t="str">
        <x:v>非同期</x:v>
      </x:c>
      <x:c r="C85" s="31" t="str">
        <x:v>再取得失敗時に既存予定保持</x:v>
      </x:c>
      <x:c r="D85" s="31" t="str">
        <x:v>既存Storeデータあり</x:v>
      </x:c>
      <x:c r="E85" s="31" t="str">
        <x:v>再取得を失敗させる</x:v>
      </x:c>
      <x:c r="F85" s="31" t="str">
        <x:v>既存予定が消えずエラー状態を扱える</x:v>
      </x:c>
      <x:c r="G85" s="31" t="str">
        <x:v>デプロイ後</x:v>
      </x:c>
      <x:c r="H85" s="44" t="str">
        <x:v>中</x:v>
      </x:c>
      <x:c r="I85" s="44" t="str">
        <x:v>未実施</x:v>
      </x:c>
      <x:c r="J85" s="31" t="str"/>
    </x:row>
    <x:row r="86" ht="15.75" customHeight="1">
      <x:c r="A86" s="31" t="str">
        <x:v>TC-085</x:v>
      </x:c>
      <x:c r="B86" s="31" t="str">
        <x:v>非同期</x:v>
      </x:c>
      <x:c r="C86" s="31" t="str">
        <x:v>回答保存後のStore確認</x:v>
      </x:c>
      <x:c r="D86" s="31" t="str">
        <x:v>回答送信可能</x:v>
      </x:c>
      <x:c r="E86" s="31" t="str">
        <x:v>回答を保存</x:v>
      </x:c>
      <x:c r="F86" s="31" t="str">
        <x:v>再取得後current user response確認に成功した場合のみDetailへ遷移</x:v>
      </x:c>
      <x:c r="G86" s="31" t="str">
        <x:v>デプロイ後</x:v>
      </x:c>
      <x:c r="H86" s="44" t="str">
        <x:v>高</x:v>
      </x:c>
      <x:c r="I86" s="44" t="str">
        <x:v>未実施</x:v>
      </x:c>
      <x:c r="J86" s="31" t="str"/>
    </x:row>
    <x:row r="87" ht="15.75" customHeight="1">
      <x:c r="A87" s="31" t="str">
        <x:v>TC-086</x:v>
      </x:c>
      <x:c r="B87" s="31" t="str">
        <x:v>招待</x:v>
      </x:c>
      <x:c r="C87" s="31" t="str">
        <x:v>共有キャンセルはエラー扱いしない</x:v>
      </x:c>
      <x:c r="D87" s="31" t="str">
        <x:v>navigator.share対応</x:v>
      </x:c>
      <x:c r="E87" s="31" t="str">
        <x:v>共有UIでキャンセル</x:v>
      </x:c>
      <x:c r="F87" s="31" t="str">
        <x:v>AbortErrorをユーザー向けエラーとして表示しない</x:v>
      </x:c>
      <x:c r="G87" s="31" t="str">
        <x:v>デプロイ後</x:v>
      </x:c>
      <x:c r="H87" s="44" t="str">
        <x:v>低</x:v>
      </x:c>
      <x:c r="I87" s="44" t="str">
        <x:v>未実施</x:v>
      </x:c>
      <x:c r="J87" s="31" t="str"/>
    </x:row>
    <x:row r="88" ht="15.75" customHeight="1">
      <x:c r="A88" s="31" t="str">
        <x:v>TC-087</x:v>
      </x:c>
      <x:c r="B88" s="31" t="str">
        <x:v>招待</x:v>
      </x:c>
      <x:c r="C88" s="31" t="str">
        <x:v>共有非対応時のclipboard fallback</x:v>
      </x:c>
      <x:c r="D88" s="31" t="str">
        <x:v>navigator.share非対応</x:v>
      </x:c>
      <x:c r="E88" s="31" t="str">
        <x:v>共有操作</x:v>
      </x:c>
      <x:c r="F88" s="31" t="str">
        <x:v>クリップボードコピーへフォールバックする</x:v>
      </x:c>
      <x:c r="G88" s="31" t="str">
        <x:v>デプロイ後</x:v>
      </x:c>
      <x:c r="H88" s="44" t="str">
        <x:v>中</x:v>
      </x:c>
      <x:c r="I88" s="44" t="str">
        <x:v>未実施</x:v>
      </x:c>
      <x:c r="J88" s="31" t="str"/>
    </x:row>
    <x:row r="89" ht="15.75" customHeight="1">
      <x:c r="A89" s="31" t="str">
        <x:v>TC-088</x:v>
      </x:c>
      <x:c r="B89" s="31" t="str">
        <x:v>ナビ</x:v>
      </x:c>
      <x:c r="C89" s="31" t="str">
        <x:v>displayName未設定時の予定タブ無効</x:v>
      </x:c>
      <x:c r="D89" s="31" t="str">
        <x:v>displayNameなし</x:v>
      </x:c>
      <x:c r="E89" s="31" t="str">
        <x:v>HOME初回状態でBottomNavigation確認</x:v>
      </x:c>
      <x:c r="F89" s="31" t="str">
        <x:v>予定タブがnative disabled/aria-disabledで遷移不可</x:v>
      </x:c>
      <x:c r="G89" s="31" t="str">
        <x:v>デプロイ前</x:v>
      </x:c>
      <x:c r="H89" s="44" t="str">
        <x:v>高</x:v>
      </x:c>
      <x:c r="I89" s="44" t="str">
        <x:v>未実施</x:v>
      </x:c>
      <x:c r="J89" s="31" t="str"/>
    </x:row>
    <x:row r="90" ht="15.75" customHeight="1">
      <x:c r="A90" s="31" t="str">
        <x:v>TC-089</x:v>
      </x:c>
      <x:c r="B90" s="31" t="str">
        <x:v>予定詳細</x:v>
      </x:c>
      <x:c r="C90" s="31" t="str">
        <x:v>画面優先順位</x:v>
      </x:c>
      <x:c r="D90" s="31" t="str">
        <x:v>予定・回答データあり</x:v>
      </x:c>
      <x:c r="E90" s="31" t="str">
        <x:v>予定詳細を開く</x:v>
      </x:c>
      <x:c r="F90" s="31" t="str">
        <x:v>予定概要→回答状況→集計CTA→自分の回答→招待の順で表示</x:v>
      </x:c>
      <x:c r="G90" s="31" t="str">
        <x:v>デプロイ前</x:v>
      </x:c>
      <x:c r="H90" s="44" t="str">
        <x:v>中</x:v>
      </x:c>
      <x:c r="I90" s="44" t="str">
        <x:v>未実施</x:v>
      </x:c>
      <x:c r="J90" s="31" t="str"/>
    </x:row>
    <x:row r="91" ht="15.75" customHeight="1">
      <x:c r="A91" s="31" t="str">
        <x:v>TC-090</x:v>
      </x:c>
      <x:c r="B91" s="31" t="str">
        <x:v>予定詳細</x:v>
      </x:c>
      <x:c r="C91" s="31" t="str">
        <x:v>transitの移動情報を重複表示しない</x:v>
      </x:c>
      <x:c r="D91" s="31" t="str">
        <x:v>transit予定・本人回答済み</x:v>
      </x:c>
      <x:c r="E91" s="31" t="str">
        <x:v>予定詳細を開く</x:v>
      </x:c>
      <x:c r="F91" s="31" t="str">
        <x:v>上部で電車方針を示し、自分の回答に移動カードを重複表示しない</x:v>
      </x:c>
      <x:c r="G91" s="31" t="str">
        <x:v>デプロイ前</x:v>
      </x:c>
      <x:c r="H91" s="44" t="str">
        <x:v>中</x:v>
      </x:c>
      <x:c r="I91" s="44" t="str">
        <x:v>未実施</x:v>
      </x:c>
      <x:c r="J91" s="31" t="str"/>
    </x:row>
    <x:row r="92" ht="15.75" customHeight="1">
      <x:c r="A92" s="31" t="str">
        <x:v>TC-091</x:v>
      </x:c>
      <x:c r="B92" s="31" t="str">
        <x:v>集計</x:v>
      </x:c>
      <x:c r="C92" s="31" t="str">
        <x:v>transit表示は簡潔</x:v>
      </x:c>
      <x:c r="D92" s="31" t="str">
        <x:v>transit予定・回答あり</x:v>
      </x:c>
      <x:c r="E92" s="31" t="str">
        <x:v>集計結果を開く</x:v>
      </x:c>
      <x:c r="F92" s="31" t="str">
        <x:v>「移動手段 / 電車」と希望エリア票を表示し、電車N人等を出さない</x:v>
      </x:c>
      <x:c r="G92" s="31" t="str">
        <x:v>デプロイ前</x:v>
      </x:c>
      <x:c r="H92" s="44" t="str">
        <x:v>中</x:v>
      </x:c>
      <x:c r="I92" s="44" t="str">
        <x:v>未実施</x:v>
      </x:c>
      <x:c r="J92" s="31" t="str"/>
    </x:row>
    <x:row r="93" ht="15.75" customHeight="1">
      <x:c r="A93" s="31" t="str">
        <x:v>TC-092</x:v>
      </x:c>
      <x:c r="B93" s="31" t="str">
        <x:v>アクセシビリティ</x:v>
      </x:c>
      <x:c r="C93" s="31" t="str">
        <x:v>ScheduleCardキーボード操作</x:v>
      </x:c>
      <x:c r="D93" s="31" t="str">
        <x:v>予定一覧にカードあり</x:v>
      </x:c>
      <x:c r="E93" s="31" t="str">
        <x:v>Tab/Enterで操作</x:v>
      </x:c>
      <x:c r="F93" s="31" t="str">
        <x:v>カード全体がフォーカス可能でEnterで詳細へ遷移する</x:v>
      </x:c>
      <x:c r="G93" s="31" t="str">
        <x:v>デプロイ前</x:v>
      </x:c>
      <x:c r="H93" s="44" t="str">
        <x:v>中</x:v>
      </x:c>
      <x:c r="I93" s="44" t="str">
        <x:v>未実施</x:v>
      </x:c>
      <x:c r="J93" s="31" t="str">
        <x:v>RouterLink</x:v>
      </x:c>
    </x:row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I2:I54">
    <x:cfRule type="expression" dxfId="5" priority="1">
      <x:formula>I2="OK"</x:formula>
    </x:cfRule>
  </x:conditionalFormatting>
  <x:conditionalFormatting sqref="I2:I54">
    <x:cfRule type="expression" dxfId="6" priority="2">
      <x:formula>I2="NG"</x:formula>
    </x:cfRule>
  </x:conditionalFormatting>
  <x:conditionalFormatting sqref="I2:I54">
    <x:cfRule type="expression" dxfId="7" priority="3">
      <x:formula>I2="保留"</x:formula>
    </x:cfRule>
  </x:conditionalFormatting>
  <x:conditionalFormatting sqref="I2:I93">
    <x:cfRule type="expression" dxfId="12" priority="4">
      <x:formula>I2="OK"</x:formula>
    </x:cfRule>
    <x:cfRule type="expression" dxfId="13" priority="5">
      <x:formula>I2="NG"</x:formula>
    </x:cfRule>
    <x:cfRule type="expression" dxfId="14" priority="6">
      <x:formula>I2="保留"</x:formula>
    </x:cfRule>
    <x:cfRule type="expression" dxfId="15" priority="7">
      <x:formula>I2="未実施"</x:formula>
    </x:cfRule>
  </x:conditionalFormatting>
  <x:dataValidations count="5">
    <x:dataValidation type="list" allowBlank="1" showDropDown="1" showErrorMessage="1" sqref="G2:G54">
      <x:formula1>"デプロイ前,デプロイ後・複数ユーザー必須,デプロイ後,デプロイ後・必須"</x:formula1>
    </x:dataValidation>
    <x:dataValidation type="list" allowBlank="1" sqref="I2:I54">
      <x:formula1>"未実施,OK,NG,保留"</x:formula1>
    </x:dataValidation>
    <x:dataValidation type="list" allowBlank="1" showDropDown="1" showErrorMessage="1" sqref="H2:H54">
      <x:formula1>"高,中,低"</x:formula1>
    </x:dataValidation>
    <x:dataValidation type="list" sqref="H2:H93">
      <x:formula1>"高,中,低"</x:formula1>
    </x:dataValidation>
    <x:dataValidation type="list" sqref="I2:I93">
      <x:formula1>"OK,NG,保留,未実施"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20635492594c56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6" hidden="0" customWidth="1"/>
    <x:col min="2" max="2" width="20" hidden="0" customWidth="1"/>
    <x:col min="3" max="5" width="32.380001068115234" customWidth="1"/>
    <x:col min="7" max="7" width="55" hidden="0" customWidth="1"/>
    <x:col min="9" max="9" width="44" hidden="0" customWidth="1"/>
    <x:col min="3" max="3" width="30" hidden="0" customWidth="1"/>
    <x:col min="4" max="4" width="46" hidden="0" customWidth="1"/>
    <x:col min="5" max="5" width="42" hidden="0" customWidth="1"/>
    <x:col min="6" max="6" width="32" hidden="0" customWidth="1"/>
    <x:col min="8" max="8" width="12" hidden="0" customWidth="1"/>
  </x:cols>
  <x:sheetData>
    <x:row r="1">
      <x:c r="A1" s="41" t="s">
        <x:v>0</x:v>
      </x:c>
      <x:c r="B1" s="41" t="s">
        <x:v>10</x:v>
      </x:c>
      <x:c r="C1" s="41" t="s">
        <x:v>11</x:v>
      </x:c>
      <x:c r="D1" s="41" t="s">
        <x:v>12</x:v>
      </x:c>
      <x:c r="E1" s="41" t="s">
        <x:v>4</x:v>
      </x:c>
      <x:c r="F1" s="41" t="s">
        <x:v>5</x:v>
      </x:c>
      <x:c r="G1" s="41" t="s">
        <x:v>13</x:v>
      </x:c>
      <x:c r="H1" s="41" t="s">
        <x:v>14</x:v>
      </x:c>
      <x:c r="I1" s="41" t="s">
        <x:v>9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</x:row>
    <x:row r="2">
      <x:c r="A2" s="18" t="s">
        <x:v>15</x:v>
      </x:c>
      <x:c r="B2" s="18" t="s">
        <x:v>16</x:v>
      </x:c>
      <x:c r="C2" s="18" t="s">
        <x:v>17</x:v>
      </x:c>
      <x:c r="D2" s="18" t="str">
        <x:v>schedulesのSELECT RLSがmemberのみ許可しており、予定作成直後は作成者本人のmembers登録前のため、INSERT後のSELECTがRLSで拒否された。</x:v>
      </x:c>
      <x:c r="E2" s="18" t="str">
        <x:v>表示名設定済みの新規ユーザーで予定を新規作成。予定名・候補期間・メモを入力し「予定を作成」を押下すると、schedules INSERT後の取得処理で403（42501）が発生。</x:v>
      </x:c>
      <x:c r="F2" s="18" t="s">
        <x:v>18</x:v>
      </x:c>
      <x:c r="G2" s="18" t="s">
        <x:v>19</x:v>
      </x:c>
      <x:c r="H2" s="18" t="s">
        <x:v>20</x:v>
      </x:c>
      <x:c r="I2" s="18" t="str">
        <x:v>エラー: 42501 / new row violates row-level security policy for table "schedules"
修正SQL:
drop policy if exists "allow members read schedules" on public.schedules;
create policy "allow members or creator read schedules"
on public.schedules
for select
to authenticated
using (
  created_by = auth.uid()::text
  or public.is_schedule_member(id)
);
Vercel本番環境で再テストし、予定作成→回答画面遷移まで正常化を確認。</x:v>
      </x:c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24" hidden="0" customWidth="1"/>
    <x:col min="2" max="2" width="78" hidden="0" customWidth="1"/>
    <x:col min="3" max="26" width="8.630000114440918" customWidth="1"/>
  </x:cols>
  <x:sheetData>
    <x:row r="1">
      <x:c r="A1" s="49" t="str">
        <x:v>総合テスト 実施ガイド v2.0</x:v>
      </x:c>
      <x:c r="B1" s="50" t="str"/>
    </x:row>
    <x:row r="2">
      <x:c r="A2" s="25" t="str"/>
      <x:c r="B2" s="25" t="str"/>
    </x:row>
    <x:row r="3">
      <x:c r="A3" s="48" t="str">
        <x:v>項目</x:v>
      </x:c>
      <x:c r="B3" s="48" t="str">
        <x:v>内容</x:v>
      </x:c>
    </x:row>
    <x:row r="4">
      <x:c r="A4" s="17" t="str">
        <x:v>目的</x:v>
      </x:c>
      <x:c r="B4" s="17" t="str">
        <x:v>現行MVPの主要機能・交通方針・Geoapify・簡易移動範囲・RLS・Home/List再設計を確認する</x:v>
      </x:c>
    </x:row>
    <x:row r="5">
      <x:c r="A5" s="17" t="str">
        <x:v>デプロイ前</x:v>
      </x:c>
      <x:c r="B5" s="17" t="str">
        <x:v>UI_TEST_DATASET_V3と単独ブラウザで確認可能なUI・集計・レスポンシブを中心に実施</x:v>
      </x:c>
    </x:row>
    <x:row r="6">
      <x:c r="A6" s="17" t="str">
        <x:v>デプロイ後</x:v>
      </x:c>
      <x:c r="B6" s="17" t="str">
        <x:v>実URL、別ブラウザ/別端末/複数ユーザー、Geoapify通信、RLS逆向きテストを確認</x:v>
      </x:c>
    </x:row>
    <x:row r="7">
      <x:c r="A7" s="17" t="str">
        <x:v>結果</x:v>
      </x:c>
      <x:c r="B7" s="17" t="str">
        <x:v>OK / NG / 保留 / 未実施</x:v>
      </x:c>
    </x:row>
    <x:row r="8">
      <x:c r="A8" s="17" t="str">
        <x:v>NG時</x:v>
      </x:c>
      <x:c r="B8" s="17" t="str">
        <x:v>備考へ現象・再現手順を記録し、修正後に再テスト</x:v>
      </x:c>
    </x:row>
    <x:row r="9">
      <x:c r="A9" s="17" t="str">
        <x:v>完了条件</x:v>
      </x:c>
      <x:c r="B9" s="17" t="str">
        <x:v>高優先度をすべてOK。中・低のNGは公開可否を個別判断</x:v>
      </x:c>
    </x:row>
    <x:row r="10">
      <x:c r="A10" s="25" t="str"/>
      <x:c r="B10" s="25" t="str"/>
    </x:row>
    <x:row r="11">
      <x:c r="A11" s="24" t="str">
        <x:v>現在の公開環境</x:v>
      </x:c>
      <x:c r="B11" s="25" t="str">
        <x:v>Vercel（Production）</x:v>
      </x:c>
    </x:row>
    <x:row r="12">
      <x:c r="A12" s="24" t="str">
        <x:v>データ基盤</x:v>
      </x:c>
      <x:c r="B12" s="25" t="str">
        <x:v>Supabase / PostgreSQL / Anonymous Auth / RLS / RPC</x:v>
      </x:c>
    </x:row>
    <x:row r="13">
      <x:c r="A13" s="24" t="str">
        <x:v>現行fixture</x:v>
      </x:c>
      <x:c r="B13" s="25" t="str">
        <x:v>UI_TEST_DATASET_V3（transport_policy、walking/driving/transit/null、preferred_areas最大5票対応）</x:v>
      </x:c>
    </x:row>
    <x:row r="14">
      <x:c r="A14" s="24" t="str">
        <x:v>本番確認済み（旧版）</x:v>
      </x:c>
      <x:c r="B14" s="25" t="str">
        <x:v>予定作成、招待、別ユーザー参加、回答、回答変更、集計、リロード、直接URL、不正招待コード、重複参加、存在しない予定URL</x:v>
      </x:c>
    </x:row>
    <x:row r="15">
      <x:c r="A15" s="24" t="str">
        <x:v>今回の主な再実施</x:v>
      </x:c>
      <x:c r="B15" s="25" t="str">
        <x:v>Home 3状態、予定一覧3セクション横スクロール、予定作成3か月上限、交通方針、Geoapify、移動範囲、Result/Detail再設計、async states</x:v>
      </x:c>
    </x:row>
    <x:row r="16">
      <x:c r="A16" s="25" t="str">
        <x:v>未完了の主な確認</x:v>
      </x:c>
      <x:c r="B16" s="25" t="str">
        <x:v>RLS低レベル逆向きテスト、通信失敗、モバイル実機確認、候補推薦機能は未実装</x:v>
      </x:c>
    </x:row>
    <x:row r="17">
      <x:c r="A17" s="25" t="str">
        <x:v>仕様対象外</x:v>
      </x:c>
      <x:c r="B17" s="25" t="str">
        <x:v>completed/過去予定一覧、最終候補地・店舗推薦、設定画面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4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56" t="str">
        <x:v>総合テスト サマリー v2.0</x:v>
      </x:c>
      <x:c r="B1" s="56"/>
      <x:c r="C1" s="56"/>
      <x:c r="D1" s="56"/>
      <x:c r="E1" s="56"/>
      <x:c r="F1" s="29"/>
    </x:row>
    <x:row r="3">
      <x:c r="A3" s="50" t="str">
        <x:v>指標</x:v>
      </x:c>
      <x:c r="B3" s="50" t="str">
        <x:v>件数</x:v>
      </x:c>
      <x:c r="C3" s="47" t="str"/>
      <x:c r="D3" s="50" t="str">
        <x:v>優先度</x:v>
      </x:c>
      <x:c r="E3" s="50" t="str">
        <x:v>未完了件数</x:v>
      </x:c>
    </x:row>
    <x:row r="4">
      <x:c r="A4" s="25" t="str">
        <x:v>総テストケース</x:v>
      </x:c>
      <x:c r="B4" s="25" t="n">
        <x:f>COUNTA('総合テストケース'!A2:A93)</x:f>
        <x:v>92</x:v>
      </x:c>
      <x:c r="C4" t="str"/>
      <x:c r="D4" s="25" t="str">
        <x:v>高</x:v>
      </x:c>
      <x:c r="E4" s="25" t="n">
        <x:f>COUNTIFS('総合テストケース'!H2:H93,"高",'総合テストケース'!I2:I93,"&lt;&gt;OK")</x:f>
        <x:v>35</x:v>
      </x:c>
    </x:row>
    <x:row r="5">
      <x:c r="A5" s="25" t="str">
        <x:v>OK</x:v>
      </x:c>
      <x:c r="B5" s="25" t="n">
        <x:f>COUNTIF('総合テストケース'!I2:I93,"OK")</x:f>
        <x:v>23</x:v>
      </x:c>
      <x:c r="C5" t="str"/>
      <x:c r="D5" s="25" t="str">
        <x:v>中</x:v>
      </x:c>
      <x:c r="E5" s="25" t="n">
        <x:f>COUNTIFS('総合テストケース'!H2:H93,"中",'総合テストケース'!I2:I93,"&lt;&gt;OK")</x:f>
        <x:v>32</x:v>
      </x:c>
    </x:row>
    <x:row r="6">
      <x:c r="A6" s="25" t="str">
        <x:v>NG</x:v>
      </x:c>
      <x:c r="B6" s="25" t="n">
        <x:f>COUNTIF('総合テストケース'!I2:I93,"NG")</x:f>
        <x:v>0</x:v>
      </x:c>
      <x:c r="C6" t="str"/>
      <x:c r="D6" s="25" t="str">
        <x:v>低</x:v>
      </x:c>
      <x:c r="E6" s="25" t="n">
        <x:f>COUNTIFS('総合テストケース'!H2:H93,"低",'総合テストケース'!I2:I93,"&lt;&gt;OK")</x:f>
        <x:v>2</x:v>
      </x:c>
    </x:row>
    <x:row r="7">
      <x:c r="A7" s="25" t="str">
        <x:v>保留</x:v>
      </x:c>
      <x:c r="B7" s="25" t="n">
        <x:f>COUNTIF('総合テストケース'!I2:I93,"保留")</x:f>
        <x:v>0</x:v>
      </x:c>
      <x:c r="C7" t="str"/>
      <x:c r="D7" s="25" t="str">
        <x:v>不具合（解消済）</x:v>
      </x:c>
      <x:c r="E7" s="25" t="n">
        <x:v>1</x:v>
      </x:c>
    </x:row>
    <x:row r="8">
      <x:c r="A8" s="25" t="str">
        <x:v>未実施</x:v>
      </x:c>
      <x:c r="B8" s="25" t="n">
        <x:f>COUNTIF('総合テストケース'!I2:I93,"未実施")</x:f>
        <x:v>69</x:v>
      </x:c>
      <x:c r="C8" t="str"/>
      <x:c r="D8" t="str"/>
      <x:c r="E8"/>
    </x:row>
    <x:row r="10">
      <x:c r="A10" s="54" t="str">
        <x:v>現在地</x:v>
      </x:c>
      <x:c r="B10" s="54"/>
      <x:c r="C10" s="54"/>
      <x:c r="D10" s="54"/>
      <x:c r="E10" s="54"/>
      <x:c r="F10" s="30"/>
    </x:row>
    <x:row r="11">
      <x:c r="A11" s="31" t="str">
        <x:v>主要ユーザーフローの旧版スモークテストは実施済み。現行版では交通方針（transit/flexible）、Geoapify、簡易移動範囲、Result/Detailの情報整理、Home/Listの責務分離が追加されたため、影響ケースを再実施対象へ戻した。最終候補地・店舗推薦は未実装であり、本テスト完了対象外。</x:v>
      </x:c>
      <x:c r="B11" s="31"/>
      <x:c r="C11" s="31"/>
      <x:c r="D11" s="31"/>
      <x:c r="E11" s="31"/>
      <x:c r="F11" s="31"/>
    </x:row>
    <x:row r="12">
      <x:c r="A12" s="31"/>
      <x:c r="B12" s="31"/>
      <x:c r="C12" s="31"/>
      <x:c r="D12" s="31"/>
      <x:c r="E12" s="31"/>
      <x:c r="F12" s="31"/>
    </x:row>
    <x:row r="13">
      <x:c r="A13" s="31"/>
      <x:c r="B13" s="31"/>
      <x:c r="C13" s="31"/>
      <x:c r="D13" s="31"/>
      <x:c r="E13" s="31"/>
      <x:c r="F13" s="31"/>
    </x:row>
    <x:row r="14">
      <x:c r="A14" s="31"/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</x:sheetData>
  <x:mergeCells>
    <x:mergeCell ref="A1:E1"/>
    <x:mergeCell ref="A10:E10"/>
    <x:mergeCell ref="A11:E13"/>
  </x:mergeCells>
  <x:conditionalFormatting sqref="B5:B5">
    <x:cfRule type="expression" dxfId="8" priority="1">
      <x:formula>B5&gt;0</x:formula>
    </x:cfRule>
  </x:conditionalFormatting>
  <x:conditionalFormatting sqref="B6:B6">
    <x:cfRule type="expression" dxfId="9" priority="2">
      <x:formula>B6&gt;0</x:formula>
    </x:cfRule>
  </x:conditionalFormatting>
  <x:conditionalFormatting sqref="B7:B7">
    <x:cfRule type="expression" dxfId="10" priority="3">
      <x:formula>B7&gt;0</x:formula>
    </x:cfRule>
  </x:conditionalFormatting>
  <x:conditionalFormatting sqref="B8:B8">
    <x:cfRule type="expression" dxfId="11" priority="4">
      <x:formula>B8&gt;0</x:formula>
    </x:cfRule>
  </x:conditionalFormatting>
  <x:pageMargins left="0.7" right="0.7" top="0.75" bottom="0.75" header="0.3" footer="0.3"/>
</x:worksheet>
</file>