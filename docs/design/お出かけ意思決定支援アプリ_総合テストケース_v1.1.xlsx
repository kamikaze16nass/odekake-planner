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9052075ad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総合テストケース" sheetId="1" r:id="R37f894b49e7c4d2e"/>
    <x:sheet xmlns:r="http://schemas.openxmlformats.org/officeDocument/2006/relationships" name="不具合管理" sheetId="2" r:id="R21605a2830af4409"/>
    <x:sheet xmlns:r="http://schemas.openxmlformats.org/officeDocument/2006/relationships" name="実施ガイド" sheetId="3" r:id="Rd37a752292f04a86"/>
    <x:sheet xmlns:r="http://schemas.openxmlformats.org/officeDocument/2006/relationships" name="テストサマリー" sheetId="4" r:id="R8c3d138339a5447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<x:sst xmlns:x="http://schemas.openxmlformats.org/spreadsheetml/2006/main">
  <x:si>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</x:si>
  <x:si>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分類</x:t>
  </x:si>
  <x:si>
    <x:t xml:space="preserve">テストケース</x:t>
  </x:si>
  <x:si>
    <x:t xml:space="preserve">前提条件</x:t>
  </x:si>
  <x:si>
    <x:t xml:space="preserve">操作手順</x:t>
  </x:si>
  <x:si>
    <x:t xml:space="preserve">期待結果</x:t>
  </x:si>
  <x:si>
    <x:t xml:space="preserve">実施タイミング</x:t>
  </x:si>
  <x:si>
    <x:t xml:space="preserve">優先度</x:t>
  </x:si>
  <x:si>
    <x:t xml:space="preserve">結果</x:t>
  </x:si>
  <x:si>
    <x:t xml:space="preserve">備考</x:t>
  </x:si>
  <x:si>
    <x:t xml:space="preserve">TC-001</x:t>
  </x:si>
  <x:si>
    <x:t xml:space="preserve">初回利用</x:t>
  </x:si>
  <x:si>
    <x:t xml:space="preserve">初回起動で表示名設定が表示される</x:t>
  </x:si>
  <x:si>
    <x:t xml:space="preserve">localStorageにdisplayNameがない</x:t>
  </x:si>
  <x:si>
    <x:t xml:space="preserve">アプリを起動する</x:t>
  </x:si>
  <x:si>
    <x:t xml:space="preserve">表示名の初回設定UIが表示される</x:t>
  </x:si>
  <x:si>
    <x:t xml:space="preserve">デプロイ前</x:t>
  </x:si>
  <x:si>
    <x:t xml:space="preserve">高</x:t>
  </x:si>
  <x:si>
    <x:t xml:space="preserve">OK</x:t>
  </x:si>
  <x:si>
    <x:t xml:space="preserve">TC-002</x:t>
  </x:si>
  <x:si>
    <x:t xml:space="preserve">表示名を保存できる</x:t>
  </x:si>
  <x:si>
    <x:t xml:space="preserve">初回設定UI表示中</x:t>
  </x:si>
  <x:si>
    <x:t xml:space="preserve">有効な名前を入力し保存する</x:t>
  </x:si>
  <x:si>
    <x:t xml:space="preserve">名前が保存され通常ホームへ遷移する</x:t>
  </x:si>
  <x:si>
    <x:t xml:space="preserve">TC-003</x:t>
  </x:si>
  <x:si>
    <x:t xml:space="preserve">表示名設定は再表示されない</x:t>
  </x:si>
  <x:si>
    <x:t xml:space="preserve">表示名保存済み</x:t>
  </x:si>
  <x:si>
    <x:t xml:space="preserve">ページを再読み込みする</x:t>
  </x:si>
  <x:si>
    <x:t xml:space="preserve">初回設定UIが再表示されない</x:t>
  </x:si>
  <x:si>
    <x:t xml:space="preserve">TC-004</x:t>
  </x:si>
  <x:si>
    <x:t xml:space="preserve">空の表示名を登録できない</x:t>
  </x:si>
  <x:si>
    <x:t xml:space="preserve">空欄または空白のみで保存する</x:t>
  </x:si>
  <x:si>
    <x:t xml:space="preserve">登録されず初回設定画面に留まる</x:t>
  </x:si>
  <x:si>
    <x:t xml:space="preserve">中</x:t>
  </x:si>
  <x:si>
    <x:t xml:space="preserve">TC-005</x:t>
  </x:si>
  <x:si>
    <x:t xml:space="preserve">予定作成</x:t>
  </x:si>
  <x:si>
    <x:t xml:space="preserve">予定を正常に作成できる</x:t>
  </x:si>
  <x:si>
    <x:t xml:space="preserve">認証・表示名設定済み</x:t>
  </x:si>
  <x:si>
    <x:t xml:space="preserve">予定名・期間等を入力して作成する</x:t>
  </x:si>
  <x:si>
    <x:t xml:space="preserve">予定が作成され作成者がmemberとして登録される</x:t>
  </x:si>
  <x:si>
    <x:t xml:space="preserve">TC-006</x:t>
  </x:si>
  <x:si>
    <x:t xml:space="preserve">作成者名に設定済み表示名が使われる</x:t>
  </x:si>
  <x:si>
    <x:t xml:space="preserve">表示名設定済み</x:t>
  </x:si>
  <x:si>
    <x:t xml:space="preserve">予定を作成し詳細を確認する</x:t>
  </x:si>
  <x:si>
    <x:t xml:space="preserve">設定済み表示名で表示され「あなた」にならない</x:t>
  </x:si>
  <x:si>
    <x:t xml:space="preserve">TC-007</x:t>
  </x:si>
  <x:si>
    <x:t xml:space="preserve">必須項目未入力を防止できる</x:t>
  </x:si>
  <x:si>
    <x:t xml:space="preserve">予定作成画面</x:t>
  </x:si>
  <x:si>
    <x:t xml:space="preserve">必須項目を空にして作成を試す</x:t>
  </x:si>
  <x:si>
    <x:t xml:space="preserve">不正な予定が作成されない</x:t>
  </x:si>
  <x:si>
    <x:t xml:space="preserve">TC-008</x:t>
  </x:si>
  <x:si>
    <x:t xml:space="preserve">同日・月またぎ・年またぎ</x:t>
  </x:si>
  <x:si>
    <x:t xml:space="preserve">各境界条件の予定を作る</x:t>
  </x:si>
  <x:si>
    <x:t xml:space="preserve">日付が正しく保存・表示される</x:t>
  </x:si>
  <x:si>
    <x:t xml:space="preserve">TC-009</x:t>
  </x:si>
  <x:si>
    <x:t xml:space="preserve">ホーム</x:t>
  </x:si>
  <x:si>
    <x:t xml:space="preserve">回答が必要な予定を表示する</x:t>
  </x:si>
  <x:si>
    <x:t xml:space="preserve">自分が未回答の予定あり</x:t>
  </x:si>
  <x:si>
    <x:t xml:space="preserve">ホームを開く</x:t>
  </x:si>
  <x:si>
    <x:t xml:space="preserve">回答が必要なお知らせが正しく表示される</x:t>
  </x:si>
  <x:si>
    <x:t xml:space="preserve">TC-010</x:t>
  </x:si>
  <x:si>
    <x:t xml:space="preserve">全員回答済み予定を表示する</x:t>
  </x:si>
  <x:si>
    <x:t xml:space="preserve">全員回答済み予定あり</x:t>
  </x:si>
  <x:si>
    <x:t xml:space="preserve">集計結果への導線が表示される</x:t>
  </x:si>
  <x:si>
    <x:t xml:space="preserve">TC-011</x:t>
  </x:si>
  <x:si>
    <x:t xml:space="preserve">予定なしのEmpty State</x:t>
  </x:si>
  <x:si>
    <x:t xml:space="preserve">参加予定なし</x:t>
  </x:si>
  <x:si>
    <x:t xml:space="preserve">Empty Stateと予定作成導線が表示される</x:t>
  </x:si>
  <x:si>
    <x:t xml:space="preserve">TC-012</x:t>
  </x:si>
  <x:si>
    <x:t xml:space="preserve">予定一覧</x:t>
  </x:si>
  <x:si>
    <x:t xml:space="preserve">参加予定だけ一覧表示</x:t>
  </x:si>
  <x:si>
    <x:t xml:space="preserve">複数予定あり</x:t>
  </x:si>
  <x:si>
    <x:t xml:space="preserve">予定一覧を開く</x:t>
  </x:si>
  <x:si>
    <x:t xml:space="preserve">自分が参加している予定が正しく表示される</x:t>
  </x:si>
  <x:si>
    <x:t xml:space="preserve">TC-013</x:t>
  </x:si>
  <x:si>
    <x:t xml:space="preserve">招待</x:t>
  </x:si>
  <x:si>
    <x:t xml:space="preserve">招待コードで予定検索</x:t>
  </x:si>
  <x:si>
    <x:t xml:space="preserve">別ユーザーの予定あり</x:t>
  </x:si>
  <x:si>
    <x:t xml:space="preserve">正しい招待コードを入力</x:t>
  </x:si>
  <x:si>
    <x:t xml:space="preserve">対象予定を特定できる</x:t>
  </x:si>
  <x:si>
    <x:t xml:space="preserve">デプロイ後・複数ユーザー必須</x:t>
  </x:si>
  <x:si>
    <x:t xml:space="preserve">TC-014</x:t>
  </x:si>
  <x:si>
    <x:t xml:space="preserve">招待コード前後空白</x:t>
  </x:si>
  <x:si>
    <x:t xml:space="preserve">有効なコードあり</x:t>
  </x:si>
  <x:si>
    <x:t xml:space="preserve">前後に空白を付けて入力</x:t>
  </x:si>
  <x:si>
    <x:t xml:space="preserve">trimされ検索できる</x:t>
  </x:si>
  <x:si>
    <x:t xml:space="preserve">デプロイ後</x:t>
  </x:si>
  <x:si>
    <x:t xml:space="preserve">TC-015</x:t>
  </x:si>
  <x:si>
    <x:t xml:space="preserve">招待コード大文字小文字</x:t>
  </x:si>
  <x:si>
    <x:t xml:space="preserve">英字入りコードあり</x:t>
  </x:si>
  <x:si>
    <x:t xml:space="preserve">大文字小文字を変えて入力</x:t>
  </x:si>
  <x:si>
    <x:t xml:space="preserve">同じ予定を検索できる</x:t>
  </x:si>
  <x:si>
    <x:t xml:space="preserve">TC-016</x:t>
  </x:si>
  <x:si>
    <x:t xml:space="preserve">存在しない招待コード</x:t>
  </x:si>
  <x:si>
    <x:t xml:space="preserve">なし</x:t>
  </x:si>
  <x:si>
    <x:t xml:space="preserve">誤ったコードを入力</x:t>
  </x:si>
  <x:si>
    <x:t xml:space="preserve">参加せず適切なエラー表示になる</x:t>
  </x:si>
  <x:si>
    <x:t xml:space="preserve">TC-017</x:t>
  </x:si>
  <x:si>
    <x:t xml:space="preserve">参加</x:t>
  </x:si>
  <x:si>
    <x:t xml:space="preserve">別ユーザーが参加できる</x:t>
  </x:si>
  <x:si>
    <x:t xml:space="preserve">招待検索成功</x:t>
  </x:si>
  <x:si>
    <x:t xml:space="preserve">参加操作を行う</x:t>
  </x:si>
  <x:si>
    <x:t xml:space="preserve">本人UID・設定名でmember登録される</x:t>
  </x:si>
  <x:si>
    <x:t xml:space="preserve">TC-018</x:t>
  </x:si>
  <x:si>
    <x:t xml:space="preserve">同一ユーザー重複参加防止</x:t>
  </x:si>
  <x:si>
    <x:t xml:space="preserve">参加済み</x:t>
  </x:si>
  <x:si>
    <x:t xml:space="preserve">同じ予定へ再参加</x:t>
  </x:si>
  <x:si>
    <x:t xml:space="preserve">memberが重複作成されない</x:t>
  </x:si>
  <x:si>
    <x:t xml:space="preserve">TC-019</x:t>
  </x:si>
  <x:si>
    <x:t xml:space="preserve">各ユーザーの設定名を表示</x:t>
  </x:si>
  <x:si>
    <x:t xml:space="preserve">2人以上参加</x:t>
  </x:si>
  <x:si>
    <x:t xml:space="preserve">異なる名前で参加</x:t>
  </x:si>
  <x:si>
    <x:t xml:space="preserve">全員が各設定名で表示される</x:t>
  </x:si>
  <x:si>
    <x:t xml:space="preserve">TC-020</x:t>
  </x:si>
  <x:si>
    <x:t xml:space="preserve">回答</x:t>
  </x:si>
  <x:si>
    <x:t xml:space="preserve">回答を新規送信</x:t>
  </x:si>
  <x:si>
    <x:t xml:space="preserve">予定参加済み</x:t>
  </x:si>
  <x:si>
    <x:t xml:space="preserve">必要項目を入力し送信</x:t>
  </x:si>
  <x:si>
    <x:t xml:space="preserve">本人の回答が1件保存される</x:t>
  </x:si>
  <x:si>
    <x:t xml:space="preserve">TC-021</x:t>
  </x:si>
  <x:si>
    <x:t xml:space="preserve">複数日選択</x:t>
  </x:si>
  <x:si>
    <x:t xml:space="preserve">回答画面</x:t>
  </x:si>
  <x:si>
    <x:t xml:space="preserve">複数候補日を選択して送信</x:t>
  </x:si>
  <x:si>
    <x:t xml:space="preserve">全日付が保存・再表示される</x:t>
  </x:si>
  <x:si>
    <x:t xml:space="preserve">TC-022</x:t>
  </x:si>
  <x:si>
    <x:t xml:space="preserve">複数活動選択</x:t>
  </x:si>
  <x:si>
    <x:t xml:space="preserve">複数活動を選択して送信</x:t>
  </x:si>
  <x:si>
    <x:t xml:space="preserve">全選択が保存・集計される</x:t>
  </x:si>
  <x:si>
    <x:t xml:space="preserve">TC-023</x:t>
  </x:si>
  <x:si>
    <x:t xml:space="preserve">希望エリア空欄</x:t>
  </x:si>
  <x:si>
    <x:t xml:space="preserve">希望エリアを空欄で送信</x:t>
  </x:si>
  <x:si>
    <x:t xml:space="preserve">正常保存される</x:t>
  </x:si>
  <x:si>
    <x:t xml:space="preserve">TC-024</x:t>
  </x:si>
  <x:si>
    <x:t xml:space="preserve">回答編集</x:t>
  </x:si>
  <x:si>
    <x:t xml:space="preserve">既存回答を編集</x:t>
  </x:si>
  <x:si>
    <x:t xml:space="preserve">回答済み</x:t>
  </x:si>
  <x:si>
    <x:t xml:space="preserve">内容を変更して保存</x:t>
  </x:si>
  <x:si>
    <x:t xml:space="preserve">新規行を増やさず既存回答が更新される</x:t>
  </x:si>
  <x:si>
    <x:t xml:space="preserve">TC-025</x:t>
  </x:si>
  <x:si>
    <x:t xml:space="preserve">予定詳細</x:t>
  </x:si>
  <x:si>
    <x:t xml:space="preserve">未回答者を先に表示</x:t>
  </x:si>
  <x:si>
    <x:t xml:space="preserve">未回答・回答済み混在</x:t>
  </x:si>
  <x:si>
    <x:t xml:space="preserve">予定詳細を開く</x:t>
  </x:si>
  <x:si>
    <x:t xml:space="preserve">未回答→回答済みの順で表示される</x:t>
  </x:si>
  <x:si>
    <x:t xml:space="preserve">TC-026</x:t>
  </x:si>
  <x:si>
    <x:t xml:space="preserve">自分を該当グループ先頭</x:t>
  </x:si>
  <x:si>
    <x:t xml:space="preserve">自分と他人が同じ状態</x:t>
  </x:si>
  <x:si>
    <x:t xml:space="preserve">自分が該当グループ内先頭になる</x:t>
  </x:si>
  <x:si>
    <x:t xml:space="preserve">TC-027</x:t>
  </x:si>
  <x:si>
    <x:t xml:space="preserve">回答状況スクロール</x:t>
  </x:si>
  <x:si>
    <x:t xml:space="preserve">5人以上参加</x:t>
  </x:si>
  <x:si>
    <x:t xml:space="preserve">回答状況をスクロール</x:t>
  </x:si>
  <x:si>
    <x:t xml:space="preserve">約4人＋5人目が見える高さでスクロール可能</x:t>
  </x:si>
  <x:si>
    <x:t xml:space="preserve">TC-028</x:t>
  </x:si>
  <x:si>
    <x:t xml:space="preserve">全員回答済み状態</x:t>
  </x:si>
  <x:si>
    <x:t xml:space="preserve">全員回答済み</x:t>
  </x:si>
  <x:si>
    <x:t xml:space="preserve">全員回答済みが正しく表示される</x:t>
  </x:si>
  <x:si>
    <x:t xml:space="preserve">TC-029</x:t>
  </x:si>
  <x:si>
    <x:t xml:space="preserve">集計</x:t>
  </x:si>
  <x:si>
    <x:t xml:space="preserve">日程集計</x:t>
  </x:si>
  <x:si>
    <x:t xml:space="preserve">複数回答あり</x:t>
  </x:si>
  <x:si>
    <x:t xml:space="preserve">集計結果を開く</x:t>
  </x:si>
  <x:si>
    <x:t xml:space="preserve">各日付の人数が実データと一致</x:t>
  </x:si>
  <x:si>
    <x:t xml:space="preserve">TC-030</x:t>
  </x:si>
  <x:si>
    <x:t xml:space="preserve">活動集計</x:t>
  </x:si>
  <x:si>
    <x:t xml:space="preserve">各活動の人数が実データと一致</x:t>
  </x:si>
  <x:si>
    <x:t xml:space="preserve">TC-031</x:t>
  </x:si>
  <x:si>
    <x:t xml:space="preserve">全員一致表示</x:t>
  </x:si>
  <x:si>
    <x:t xml:space="preserve">全員同条件を選択</x:t>
  </x:si>
  <x:si>
    <x:t xml:space="preserve">全員一致表示になり不要な補足が出ない</x:t>
  </x:si>
  <x:si>
    <x:t xml:space="preserve">TC-032</x:t>
  </x:si>
  <x:si>
    <x:t xml:space="preserve">一部一致の人数表現</x:t>
  </x:si>
  <x:si>
    <x:t xml:space="preserve">一部のみ同条件</x:t>
  </x:si>
  <x:si>
    <x:t xml:space="preserve">「○人中○人」で正しく表示</x:t>
  </x:si>
  <x:si>
    <x:t xml:space="preserve">TC-033</x:t>
  </x:si>
  <x:si>
    <x:t xml:space="preserve">日付表示形式</x:t>
  </x:si>
  <x:si>
    <x:t xml:space="preserve">回答あり</x:t>
  </x:si>
  <x:si>
    <x:t xml:space="preserve">設計済みの読みやすい日付形式で表示</x:t>
  </x:si>
  <x:si>
    <x:t xml:space="preserve">TC-034</x:t>
  </x:si>
  <x:si>
    <x:t xml:space="preserve">出発地・希望エリア</x:t>
  </x:si>
  <x:si>
    <x:t xml:space="preserve">各ユーザー入力が欠落せず表示される</x:t>
  </x:si>
  <x:si>
    <x:t xml:space="preserve">TC-035</x:t>
  </x:si>
  <x:si>
    <x:t xml:space="preserve">RLS</x:t>
  </x:si>
  <x:si>
    <x:t xml:space="preserve">未参加者は通常予定SELECT不可</x:t>
  </x:si>
  <x:si>
    <x:t xml:space="preserve">別ユーザー予定あり</x:t>
  </x:si>
  <x:si>
    <x:t xml:space="preserve">未参加で通常取得を試す</x:t>
  </x:si>
  <x:si>
    <x:t xml:space="preserve">schedules SELECTで取得できない</x:t>
  </x:si>
  <x:si>
    <x:t xml:space="preserve">デプロイ後・必須</x:t>
  </x:si>
  <x:si>
    <x:t xml:space="preserve">TC-036</x:t>
  </x:si>
  <x:si>
    <x:t xml:space="preserve">招待RPCは認証済みのみ</x:t>
  </x:si>
  <x:si>
    <x:t xml:space="preserve">未認証状態</x:t>
  </x:si>
  <x:si>
    <x:t xml:space="preserve">RPC実行を試す</x:t>
  </x:si>
  <x:si>
    <x:t xml:space="preserve">anonでは実行不可または結果取得不可</x:t>
  </x:si>
  <x:si>
    <x:t xml:space="preserve">未実施</x:t>
  </x:si>
  <x:si>
    <x:t xml:space="preserve">TC-037</x:t>
  </x:si>
  <x:si>
    <x:t xml:space="preserve">他人の回答更新不可</x:t>
  </x:si>
  <x:si>
    <x:t xml:space="preserve">A/B参加済み</x:t>
  </x:si>
  <x:si>
    <x:t xml:space="preserve">AでBのresponse更新を試す</x:t>
  </x:si>
  <x:si>
    <x:t xml:space="preserve">RLSで失敗する</x:t>
  </x:si>
  <x:si>
    <x:t xml:space="preserve">TC-038</x:t>
  </x:si>
  <x:si>
    <x:t xml:space="preserve">他人のmember更新不可</x:t>
  </x:si>
  <x:si>
    <x:t xml:space="preserve">AでBのmember更新を試す</x:t>
  </x:si>
  <x:si>
    <x:t xml:space="preserve">TC-039</x:t>
  </x:si>
  <x:si>
    <x:t xml:space="preserve">非memberはresponses閲覧不可</x:t>
  </x:si>
  <x:si>
    <x:t xml:space="preserve">未参加ユーザーあり</x:t>
  </x:si>
  <x:si>
    <x:t xml:space="preserve">responses取得を試す</x:t>
  </x:si>
  <x:si>
    <x:t xml:space="preserve">RLSで取得できない</x:t>
  </x:si>
  <x:si>
    <x:t xml:space="preserve">TC-040</x:t>
  </x:si>
  <x:si>
    <x:t xml:space="preserve">データ保持</x:t>
  </x:si>
  <x:si>
    <x:t xml:space="preserve">リロード後も表示名保持</x:t>
  </x:si>
  <x:si>
    <x:t xml:space="preserve">リロード</x:t>
  </x:si>
  <x:si>
    <x:t xml:space="preserve">localStorageから表示名が復元される</x:t>
  </x:si>
  <x:si>
    <x:t xml:space="preserve">TC-041</x:t>
  </x:si>
  <x:si>
    <x:t xml:space="preserve">リロード後も参加予定再取得</x:t>
  </x:si>
  <x:si>
    <x:t xml:space="preserve">参加予定あり</x:t>
  </x:si>
  <x:si>
    <x:t xml:space="preserve">ホーム等でリロード</x:t>
  </x:si>
  <x:si>
    <x:t xml:space="preserve">認証後に参加予定が正常表示される</x:t>
  </x:si>
  <x:si>
    <x:t xml:space="preserve">TC-042</x:t>
  </x:si>
  <x:si>
    <x:t xml:space="preserve">ブラウザ操作</x:t>
  </x:si>
  <x:si>
    <x:t xml:space="preserve">戻るボタン</x:t>
  </x:si>
  <x:si>
    <x:t xml:space="preserve">詳細・招待・回答等</x:t>
  </x:si>
  <x:si>
    <x:t xml:space="preserve">左上戻るを押す</x:t>
  </x:si>
  <x:si>
    <x:t xml:space="preserve">意図した画面へ戻り表示崩れがない</x:t>
  </x:si>
  <x:si>
    <x:t xml:space="preserve">TC-043</x:t>
  </x:si>
  <x:si>
    <x:t xml:space="preserve">直接URLアクセス</x:t>
  </x:si>
  <x:si>
    <x:t xml:space="preserve">有効な予定URLあり</x:t>
  </x:si>
  <x:si>
    <x:t xml:space="preserve">URLを直接開く</x:t>
  </x:si>
  <x:si>
    <x:t xml:space="preserve">認証・取得後に正常表示される</x:t>
  </x:si>
  <x:si>
    <x:t xml:space="preserve">TC-044</x:t>
  </x:si>
  <x:si>
    <x:t xml:space="preserve">入力境界</x:t>
  </x:si>
  <x:si>
    <x:t xml:space="preserve">長い予定名</x:t>
  </x:si>
  <x:si>
    <x:t xml:space="preserve">長い予定名で作成</x:t>
  </x:si>
  <x:si>
    <x:t xml:space="preserve">レイアウトを壊さず表示される</x:t>
  </x:si>
  <x:si>
    <x:t xml:space="preserve">TC-045</x:t>
  </x:si>
  <x:si>
    <x:t xml:space="preserve">長い表示名</x:t>
  </x:si>
  <x:si>
    <x:t xml:space="preserve">初回設定</x:t>
  </x:si>
  <x:si>
    <x:t xml:space="preserve">長めの表示名を設定</x:t>
  </x:si>
  <x:si>
    <x:t xml:space="preserve">参加者表示等で致命的な崩れがない</x:t>
  </x:si>
  <x:si>
    <x:t xml:space="preserve">TC-046</x:t>
  </x:si>
  <x:si>
    <x:t xml:space="preserve">長いメモ・希望エリア</x:t>
  </x:si>
  <x:si>
    <x:t xml:space="preserve">入力画面</x:t>
  </x:si>
  <x:si>
    <x:t xml:space="preserve">長文を入力し保存</x:t>
  </x:si>
  <x:si>
    <x:t xml:space="preserve">保存され折返し表示できる</x:t>
  </x:si>
  <x:si>
    <x:t xml:space="preserve">低</x:t>
  </x:si>
  <x:si>
    <x:t xml:space="preserve">TC-047</x:t>
  </x:si>
  <x:si>
    <x:t xml:space="preserve">UI</x:t>
  </x:si>
  <x:si>
    <x:t xml:space="preserve">BottomNavigationが被らない</x:t>
  </x:si>
  <x:si>
    <x:t xml:space="preserve">各主要画面</x:t>
  </x:si>
  <x:si>
    <x:t xml:space="preserve">最下部までスクロール</x:t>
  </x:si>
  <x:si>
    <x:t xml:space="preserve">最下部コンテンツが隠れない</x:t>
  </x:si>
  <x:si>
    <x:t xml:space="preserve">TC-048</x:t>
  </x:si>
  <x:si>
    <x:t xml:space="preserve">モバイル幅で崩れない</x:t>
  </x:si>
  <x:si>
    <x:t xml:space="preserve">スマホ相当幅で表示</x:t>
  </x:si>
  <x:si>
    <x:t xml:space="preserve">横スクロール・重なり・欠けがない</x:t>
  </x:si>
  <x:si>
    <x:t xml:space="preserve">TC-049</x:t>
  </x:si>
  <x:si>
    <x:t xml:space="preserve">回答画面入力UI</x:t>
  </x:si>
  <x:si>
    <x:t xml:space="preserve">ラジオ等を操作</x:t>
  </x:si>
  <x:si>
    <x:t xml:space="preserve">選択状態が明確で操作しやすい</x:t>
  </x:si>
  <x:si>
    <x:t xml:space="preserve">TC-050</x:t>
  </x:si>
  <x:si>
    <x:t xml:space="preserve">異常系</x:t>
  </x:si>
  <x:si>
    <x:t xml:space="preserve">通信失敗</x:t>
  </x:si>
  <x:si>
    <x:t xml:space="preserve">通信遮断等</x:t>
  </x:si>
  <x:si>
    <x:t xml:space="preserve">取得/保存を実行</x:t>
  </x:si>
  <x:si>
    <x:t xml:space="preserve">無限ローディングや誤成功にならない</x:t>
  </x:si>
  <x:si>
    <x:t xml:space="preserve">TC-051</x:t>
  </x:si>
  <x:si>
    <x:t xml:space="preserve">存在しない予定ID</x:t>
  </x:si>
  <x:si>
    <x:t xml:space="preserve">存在しない詳細URLへアクセス</x:t>
  </x:si>
  <x:si>
    <x:t xml:space="preserve">予定が見つからない旨が表示される</x:t>
  </x:si>
  <x:si>
    <x:t xml:space="preserve">TC-052</x:t>
  </x:si>
  <x:si>
    <x:t xml:space="preserve">送信連打</x:t>
  </x:si>
  <x:si>
    <x:t xml:space="preserve">作成/回答画面</x:t>
  </x:si>
  <x:si>
    <x:t xml:space="preserve">送信を短時間に複数回操作</x:t>
  </x:si>
  <x:si>
    <x:t xml:space="preserve">重複データが生成されない</x:t>
  </x:si>
  <x:si>
    <x:t xml:space="preserve">TC-053</x:t>
  </x:si>
  <x:si>
    <x:t xml:space="preserve">回帰</x:t>
  </x:si>
  <x:si>
    <x:t xml:space="preserve">UI_TEST_DATASET_V2全状態</x:t>
  </x:si>
  <x:si>
    <x:t xml:space="preserve">テストデータ投入済み</x:t>
  </x:si>
  <x:si>
    <x:t xml:space="preserve">各テスト予定を順に開く</x:t>
  </x:si>
  <x:si>
    <x:t xml:space="preserve">各状態・境界パターンが期待どおり表示される</x:t>
  </x:si>
  <x:si>
    <x:t xml:space="preserve">発生工程</x:t>
  </x:si>
  <x:si>
    <x:t xml:space="preserve">現象</x:t>
  </x:si>
  <x:si>
    <x:t xml:space="preserve">原因</x:t>
  </x:si>
  <x:si>
    <x:t xml:space="preserve">修正対応内容</x:t>
  </x:si>
  <x:si>
    <x:t xml:space="preserve">状態</x:t>
  </x:si>
  <x:si>
    <x:t xml:space="preserve">BUG0827-001</x:t>
  </x:si>
  <x:si>
    <x:t xml:space="preserve">本番スモークテスト</x:t>
  </x:si>
  <x:si>
    <x:t xml:space="preserve">予定作成時に403となり回答画面へ遷移できない</x:t>
  </x:si>
  <x:si>
    <x:t xml:space="preserve">予定が正常に登録され、回答画面に遷移すること</x:t>
  </x:si>
  <x:si>
    <x:t xml:space="preserve">予定作成直後は作成者のmembers登録前であるため、schedules INSERT後の .select().single() が「memberのみSELECT可」のRLSにより403となっていた。schedulesのSELECTポリシーを「member または created_by = auth.uid()::text の予定作成者本人」に変更。これにより作成直後でも本人が予定IDを取得でき、その後のmembers登録・回答画面遷移が正常化した。無関係なユーザーへの閲覧権限は追加していない。</x:t>
  </x:si>
  <x:si>
    <x:t xml:space="preserve">解消</x:t>
  </x:si>
  <x:si>
    <x:t xml:space="preserve">総合テスト 実施ガイド</x:t>
  </x:si>
  <x:si>
    <x:t xml:space="preserve">項目</x:t>
  </x:si>
  <x:si>
    <x:t xml:space="preserve">内容</x:t>
  </x:si>
  <x:si>
    <x:t xml:space="preserve">目的</x:t>
  </x:si>
  <x:si>
    <x:t xml:space="preserve">MVPの主要機能・RLS・UIをデプロイ前後で確認する</x:t>
  </x:si>
  <x:si>
    <x:t xml:space="preserve">単独ブラウザとUI_TEST_DATASET_V2で確認可能なケースを中心に実施</x:t>
  </x:si>
  <x:si>
    <x:t xml:space="preserve">実URL、別ブラウザ/別端末/複数ユーザーで参加フローを確認</x:t>
  </x:si>
  <x:si>
    <x:t xml:space="preserve">OK / NG / 保留 / 未実施</x:t>
  </x:si>
  <x:si>
    <x:t xml:space="preserve">NG時</x:t>
  </x:si>
  <x:si>
    <x:t xml:space="preserve">備考へ現象・再現手順を記録し、修正後に再テスト</x:t>
  </x:si>
  <x:si>
    <x:t xml:space="preserve">完了条件</x:t>
  </x:si>
  <x:si>
    <x:t xml:space="preserve">高優先度をすべてOK。中・低のNGは公開可否を個別判断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</x:si>
</x:sst>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theme="1"/>
      <x:name val="Carlito"/>
    </x:font>
    <x:font>
      <x:sz val="11"/>
      <x:color rgb="FF000000"/>
      <x:name val="Carlito"/>
    </x:font>
    <x:font>
      <x:b/>
      <x:sz val="11"/>
      <x:color rgb="FF145A57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237C78"/>
      </x:patternFill>
    </x:fill>
    <x:fill>
      <x:patternFill patternType="solid">
        <x:fgColor rgb="FFE7F5F3"/>
      </x:patternFill>
    </x:fill>
    <x:fill>
      <x:patternFill patternType="solid">
        <x:fgColor rgb="FF237C78"/>
      </x:patternFill>
    </x:fill>
  </x:fills>
  <x:borders count="1">
    <x:border/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2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top" wrapText="1"/>
    </x:xf>
    <x:xf numFmtId="0" fontId="1" fillId="2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horizontal="center" vertical="bottom" wrapText="0"/>
    </x:xf>
    <x:xf numFmtId="0" fontId="2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12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DDF4E7"/>
        </x:patternFill>
      </x:fill>
      <x:border/>
    </x:dxf>
    <x:dxf>
      <x:fill>
        <x:patternFill>
          <x:bgColor rgb="FFFCE2E2"/>
        </x:patternFill>
      </x:fill>
      <x:border/>
    </x:dxf>
    <x:dxf>
      <x:fill>
        <x:patternFill>
          <x:bgColor rgb="FFFFF2CC"/>
        </x:patternFill>
      </x:fill>
      <x:border/>
    </x:dxf>
    <x:dxf>
      <x:fill>
        <x:patternFill patternType="solid">
          <x:bgColor rgb="FFDDF4E7"/>
        </x:patternFill>
      </x:fill>
    </x:dxf>
    <x:dxf>
      <x:fill>
        <x:patternFill patternType="solid">
          <x:bgColor rgb="FFFCE2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3b0c3b7974a69" /><Relationship Type="http://schemas.openxmlformats.org/officeDocument/2006/relationships/theme" Target="/xl/theme/theme1.xml" Id="R4363b05f2381400f" /><Relationship Type="http://schemas.openxmlformats.org/officeDocument/2006/relationships/sharedStrings" Target="/xl/sharedStrings.xml" Id="R9e3ecdb624f94e02" /><Relationship Type="http://schemas.openxmlformats.org/officeDocument/2006/relationships/worksheet" Target="/xl/worksheets/sheet1.xml" Id="R37f894b49e7c4d2e" /><Relationship Type="http://schemas.openxmlformats.org/officeDocument/2006/relationships/worksheet" Target="/xl/worksheets/sheet2.xml" Id="R21605a2830af4409" /><Relationship Type="http://schemas.openxmlformats.org/officeDocument/2006/relationships/worksheet" Target="/xl/worksheets/sheet3.xml" Id="Rd37a752292f04a86" /><Relationship Type="http://schemas.openxmlformats.org/officeDocument/2006/relationships/worksheet" Target="/xl/worksheets/sheet4.xml" Id="R8c3d138339a54473" /></Relationships>
</file>

<file path=xl/tables/table1.xml><?xml version="1.0" encoding="utf-8"?>
<x:table xmlns:x="http://schemas.openxmlformats.org/spreadsheetml/2006/main" id="1" name="表_1" displayName="表_1" ref="A1:J54">
  <x:tableColumns count="10">
    <x:tableColumn id="1" name="ID"/>
    <x:tableColumn id="2" name="分類"/>
    <x:tableColumn id="3" name="テストケース"/>
    <x:tableColumn id="4" name="前提条件"/>
    <x:tableColumn id="5" name="操作手順"/>
    <x:tableColumn id="6" name="期待結果"/>
    <x:tableColumn id="7" name="実施タイミング"/>
    <x:tableColumn id="8" name="優先度"/>
    <x:tableColumn id="9" name="結果"/>
    <x:tableColumn id="10" name="備考"/>
  </x:tableColumns>
  <x:tableStyleInfo name="総合テストケース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38160811d438a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1" customWidth="1"/>
    <x:col min="2" max="2" width="14" customWidth="1"/>
    <x:col min="3" max="3" width="30" customWidth="1"/>
    <x:col min="4" max="4" width="28" customWidth="1"/>
    <x:col min="5" max="5" width="38" customWidth="1"/>
    <x:col min="6" max="6" width="42" customWidth="1"/>
    <x:col min="7" max="7" width="25" customWidth="1"/>
    <x:col min="8" max="9" width="12.380000114440918" customWidth="1"/>
    <x:col min="10" max="10" width="28" customWidth="1"/>
    <x:col min="11" max="26" width="8.630000114440918" customWidth="1"/>
  </x:cols>
  <x:sheetData>
    <x:row r="1" ht="22.5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</x:row>
    <x:row r="2" ht="22.5" customHeight="1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10" t="s">
        <x:v>16</x:v>
      </x:c>
      <x:c r="H2" s="10" t="s">
        <x:v>17</x:v>
      </x:c>
      <x:c r="I2" s="11" t="s">
        <x:v>18</x:v>
      </x:c>
      <x:c r="J2" s="9"/>
    </x:row>
    <x:row r="3" ht="22.5" customHeight="1">
      <x:c r="A3" s="9" t="s">
        <x:v>19</x:v>
      </x:c>
      <x:c r="B3" s="9" t="s">
        <x:v>11</x:v>
      </x:c>
      <x:c r="C3" s="9" t="s">
        <x:v>20</x:v>
      </x:c>
      <x:c r="D3" s="9" t="s">
        <x:v>21</x:v>
      </x:c>
      <x:c r="E3" s="9" t="s">
        <x:v>22</x:v>
      </x:c>
      <x:c r="F3" s="9" t="s">
        <x:v>23</x:v>
      </x:c>
      <x:c r="G3" s="10" t="s">
        <x:v>16</x:v>
      </x:c>
      <x:c r="H3" s="10" t="s">
        <x:v>17</x:v>
      </x:c>
      <x:c r="I3" s="11" t="s">
        <x:v>18</x:v>
      </x:c>
      <x:c r="J3" s="9"/>
    </x:row>
    <x:row r="4" ht="22.5" customHeight="1">
      <x:c r="A4" s="9" t="s">
        <x:v>24</x:v>
      </x:c>
      <x:c r="B4" s="9" t="s">
        <x:v>11</x:v>
      </x:c>
      <x:c r="C4" s="9" t="s">
        <x:v>25</x:v>
      </x:c>
      <x:c r="D4" s="9" t="s">
        <x:v>26</x:v>
      </x:c>
      <x:c r="E4" s="9" t="s">
        <x:v>27</x:v>
      </x:c>
      <x:c r="F4" s="9" t="s">
        <x:v>28</x:v>
      </x:c>
      <x:c r="G4" s="10" t="s">
        <x:v>16</x:v>
      </x:c>
      <x:c r="H4" s="10" t="s">
        <x:v>17</x:v>
      </x:c>
      <x:c r="I4" s="12" t="s">
        <x:v>18</x:v>
      </x:c>
      <x:c r="J4" s="9"/>
    </x:row>
    <x:row r="5" ht="22.5" customHeight="1">
      <x:c r="A5" s="9" t="s">
        <x:v>29</x:v>
      </x:c>
      <x:c r="B5" s="9" t="s">
        <x:v>11</x:v>
      </x:c>
      <x:c r="C5" s="9" t="s">
        <x:v>30</x:v>
      </x:c>
      <x:c r="D5" s="9" t="s">
        <x:v>21</x:v>
      </x:c>
      <x:c r="E5" s="9" t="s">
        <x:v>31</x:v>
      </x:c>
      <x:c r="F5" s="9" t="s">
        <x:v>32</x:v>
      </x:c>
      <x:c r="G5" s="10" t="s">
        <x:v>16</x:v>
      </x:c>
      <x:c r="H5" s="10" t="s">
        <x:v>33</x:v>
      </x:c>
      <x:c r="I5" s="11" t="s">
        <x:v>18</x:v>
      </x:c>
      <x:c r="J5" s="9"/>
    </x:row>
    <x:row r="6" ht="22.5" customHeight="1">
      <x:c r="A6" s="9" t="s">
        <x:v>34</x:v>
      </x:c>
      <x:c r="B6" s="9" t="s">
        <x:v>35</x:v>
      </x:c>
      <x:c r="C6" s="9" t="s">
        <x:v>36</x:v>
      </x:c>
      <x:c r="D6" s="9" t="s">
        <x:v>37</x:v>
      </x:c>
      <x:c r="E6" s="9" t="s">
        <x:v>38</x:v>
      </x:c>
      <x:c r="F6" s="9" t="s">
        <x:v>39</x:v>
      </x:c>
      <x:c r="G6" s="10" t="s">
        <x:v>16</x:v>
      </x:c>
      <x:c r="H6" s="10" t="s">
        <x:v>17</x:v>
      </x:c>
      <x:c r="I6" s="11" t="s">
        <x:v>18</x:v>
      </x:c>
      <x:c r="J6" s="9"/>
    </x:row>
    <x:row r="7" ht="22.5" customHeight="1">
      <x:c r="A7" s="9" t="s">
        <x:v>40</x:v>
      </x:c>
      <x:c r="B7" s="9" t="s">
        <x:v>35</x:v>
      </x:c>
      <x:c r="C7" s="9" t="s">
        <x:v>41</x:v>
      </x:c>
      <x:c r="D7" s="9" t="s">
        <x:v>42</x:v>
      </x:c>
      <x:c r="E7" s="9" t="s">
        <x:v>43</x:v>
      </x:c>
      <x:c r="F7" s="9" t="s">
        <x:v>44</x:v>
      </x:c>
      <x:c r="G7" s="10" t="s">
        <x:v>16</x:v>
      </x:c>
      <x:c r="H7" s="10" t="s">
        <x:v>17</x:v>
      </x:c>
      <x:c r="I7" s="11" t="s">
        <x:v>18</x:v>
      </x:c>
      <x:c r="J7" s="9"/>
    </x:row>
    <x:row r="8" ht="22.5" customHeight="1">
      <x:c r="A8" s="9" t="s">
        <x:v>45</x:v>
      </x:c>
      <x:c r="B8" s="9" t="s">
        <x:v>35</x:v>
      </x:c>
      <x:c r="C8" s="9" t="s">
        <x:v>46</x:v>
      </x:c>
      <x:c r="D8" s="9" t="s">
        <x:v>47</x:v>
      </x:c>
      <x:c r="E8" s="9" t="s">
        <x:v>48</x:v>
      </x:c>
      <x:c r="F8" s="9" t="s">
        <x:v>49</x:v>
      </x:c>
      <x:c r="G8" s="10" t="s">
        <x:v>16</x:v>
      </x:c>
      <x:c r="H8" s="10" t="s">
        <x:v>17</x:v>
      </x:c>
      <x:c r="I8" s="11" t="s">
        <x:v>18</x:v>
      </x:c>
      <x:c r="J8" s="9"/>
    </x:row>
    <x:row r="9" ht="22.5" customHeight="1">
      <x:c r="A9" s="9" t="s">
        <x:v>50</x:v>
      </x:c>
      <x:c r="B9" s="9" t="s">
        <x:v>35</x:v>
      </x:c>
      <x:c r="C9" s="9" t="s">
        <x:v>51</x:v>
      </x:c>
      <x:c r="D9" s="9" t="s">
        <x:v>47</x:v>
      </x:c>
      <x:c r="E9" s="9" t="s">
        <x:v>52</x:v>
      </x:c>
      <x:c r="F9" s="9" t="s">
        <x:v>53</x:v>
      </x:c>
      <x:c r="G9" s="10" t="s">
        <x:v>16</x:v>
      </x:c>
      <x:c r="H9" s="10" t="s">
        <x:v>33</x:v>
      </x:c>
      <x:c r="I9" s="11" t="s">
        <x:v>18</x:v>
      </x:c>
      <x:c r="J9" s="9"/>
    </x:row>
    <x:row r="10" ht="22.5" customHeight="1">
      <x:c r="A10" s="9" t="s">
        <x:v>54</x:v>
      </x:c>
      <x:c r="B10" s="9" t="s">
        <x:v>55</x:v>
      </x:c>
      <x:c r="C10" s="9" t="s">
        <x:v>56</x:v>
      </x:c>
      <x:c r="D10" s="9" t="s">
        <x:v>57</x:v>
      </x:c>
      <x:c r="E10" s="9" t="s">
        <x:v>58</x:v>
      </x:c>
      <x:c r="F10" s="9" t="s">
        <x:v>59</x:v>
      </x:c>
      <x:c r="G10" s="10" t="s">
        <x:v>16</x:v>
      </x:c>
      <x:c r="H10" s="10" t="s">
        <x:v>17</x:v>
      </x:c>
      <x:c r="I10" s="11" t="s">
        <x:v>18</x:v>
      </x:c>
      <x:c r="J10" s="9"/>
    </x:row>
    <x:row r="11" ht="22.5" customHeight="1">
      <x:c r="A11" s="9" t="s">
        <x:v>60</x:v>
      </x:c>
      <x:c r="B11" s="9" t="s">
        <x:v>55</x:v>
      </x:c>
      <x:c r="C11" s="9" t="s">
        <x:v>61</x:v>
      </x:c>
      <x:c r="D11" s="9" t="s">
        <x:v>62</x:v>
      </x:c>
      <x:c r="E11" s="9" t="s">
        <x:v>58</x:v>
      </x:c>
      <x:c r="F11" s="9" t="s">
        <x:v>63</x:v>
      </x:c>
      <x:c r="G11" s="10" t="s">
        <x:v>16</x:v>
      </x:c>
      <x:c r="H11" s="10" t="s">
        <x:v>17</x:v>
      </x:c>
      <x:c r="I11" s="11" t="s">
        <x:v>18</x:v>
      </x:c>
      <x:c r="J11" s="9"/>
    </x:row>
    <x:row r="12" ht="22.5" customHeight="1">
      <x:c r="A12" s="9" t="s">
        <x:v>64</x:v>
      </x:c>
      <x:c r="B12" s="9" t="s">
        <x:v>55</x:v>
      </x:c>
      <x:c r="C12" s="9" t="s">
        <x:v>65</x:v>
      </x:c>
      <x:c r="D12" s="9" t="s">
        <x:v>66</x:v>
      </x:c>
      <x:c r="E12" s="9" t="s">
        <x:v>58</x:v>
      </x:c>
      <x:c r="F12" s="9" t="s">
        <x:v>67</x:v>
      </x:c>
      <x:c r="G12" s="10" t="s">
        <x:v>16</x:v>
      </x:c>
      <x:c r="H12" s="10" t="s">
        <x:v>33</x:v>
      </x:c>
      <x:c r="I12" s="11" t="s">
        <x:v>18</x:v>
      </x:c>
      <x:c r="J12" s="9"/>
    </x:row>
    <x:row r="13" ht="22.5" customHeight="1">
      <x:c r="A13" s="9" t="s">
        <x:v>68</x:v>
      </x:c>
      <x:c r="B13" s="9" t="s">
        <x:v>69</x:v>
      </x:c>
      <x:c r="C13" s="9" t="s">
        <x:v>70</x:v>
      </x:c>
      <x:c r="D13" s="9" t="s">
        <x:v>71</x:v>
      </x:c>
      <x:c r="E13" s="9" t="s">
        <x:v>72</x:v>
      </x:c>
      <x:c r="F13" s="9" t="s">
        <x:v>73</x:v>
      </x:c>
      <x:c r="G13" s="10" t="s">
        <x:v>16</x:v>
      </x:c>
      <x:c r="H13" s="10" t="s">
        <x:v>17</x:v>
      </x:c>
      <x:c r="I13" s="11" t="s">
        <x:v>18</x:v>
      </x:c>
      <x:c r="J13" s="9"/>
    </x:row>
    <x:row r="14" ht="22.5" customHeight="1">
      <x:c r="A14" s="9" t="s">
        <x:v>74</x:v>
      </x:c>
      <x:c r="B14" s="9" t="s">
        <x:v>75</x:v>
      </x:c>
      <x:c r="C14" s="9" t="s">
        <x:v>76</x:v>
      </x:c>
      <x:c r="D14" s="9" t="s">
        <x:v>77</x:v>
      </x:c>
      <x:c r="E14" s="9" t="s">
        <x:v>78</x:v>
      </x:c>
      <x:c r="F14" s="9" t="s">
        <x:v>79</x:v>
      </x:c>
      <x:c r="G14" s="10" t="s">
        <x:v>80</x:v>
      </x:c>
      <x:c r="H14" s="10" t="s">
        <x:v>17</x:v>
      </x:c>
      <x:c r="I14" s="11" t="s">
        <x:v>18</x:v>
      </x:c>
      <x:c r="J14" s="9"/>
    </x:row>
    <x:row r="15" ht="22.5" customHeight="1">
      <x:c r="A15" s="9" t="s">
        <x:v>81</x:v>
      </x:c>
      <x:c r="B15" s="9" t="s">
        <x:v>75</x:v>
      </x:c>
      <x:c r="C15" s="9" t="s">
        <x:v>82</x:v>
      </x:c>
      <x:c r="D15" s="9" t="s">
        <x:v>83</x:v>
      </x:c>
      <x:c r="E15" s="9" t="s">
        <x:v>84</x:v>
      </x:c>
      <x:c r="F15" s="9" t="s">
        <x:v>85</x:v>
      </x:c>
      <x:c r="G15" s="10" t="s">
        <x:v>86</x:v>
      </x:c>
      <x:c r="H15" s="10" t="s">
        <x:v>33</x:v>
      </x:c>
      <x:c r="I15" s="11" t="s">
        <x:v>18</x:v>
      </x:c>
      <x:c r="J15" s="9"/>
    </x:row>
    <x:row r="16" ht="22.5" customHeight="1">
      <x:c r="A16" s="9" t="s">
        <x:v>87</x:v>
      </x:c>
      <x:c r="B16" s="9" t="s">
        <x:v>75</x:v>
      </x:c>
      <x:c r="C16" s="9" t="s">
        <x:v>88</x:v>
      </x:c>
      <x:c r="D16" s="9" t="s">
        <x:v>89</x:v>
      </x:c>
      <x:c r="E16" s="9" t="s">
        <x:v>90</x:v>
      </x:c>
      <x:c r="F16" s="9" t="s">
        <x:v>91</x:v>
      </x:c>
      <x:c r="G16" s="10" t="s">
        <x:v>86</x:v>
      </x:c>
      <x:c r="H16" s="10" t="s">
        <x:v>33</x:v>
      </x:c>
      <x:c r="I16" s="11" t="s">
        <x:v>18</x:v>
      </x:c>
      <x:c r="J16" s="9"/>
    </x:row>
    <x:row r="17" ht="22.5" customHeight="1">
      <x:c r="A17" s="9" t="s">
        <x:v>92</x:v>
      </x:c>
      <x:c r="B17" s="9" t="s">
        <x:v>75</x:v>
      </x:c>
      <x:c r="C17" s="9" t="s">
        <x:v>93</x:v>
      </x:c>
      <x:c r="D17" s="9" t="s">
        <x:v>94</x:v>
      </x:c>
      <x:c r="E17" s="9" t="s">
        <x:v>95</x:v>
      </x:c>
      <x:c r="F17" s="9" t="s">
        <x:v>96</x:v>
      </x:c>
      <x:c r="G17" s="10" t="s">
        <x:v>16</x:v>
      </x:c>
      <x:c r="H17" s="10" t="s">
        <x:v>17</x:v>
      </x:c>
      <x:c r="I17" s="11" t="s">
        <x:v>18</x:v>
      </x:c>
      <x:c r="J17" s="9"/>
    </x:row>
    <x:row r="18" ht="22.5" customHeight="1">
      <x:c r="A18" s="9" t="s">
        <x:v>97</x:v>
      </x:c>
      <x:c r="B18" s="9" t="s">
        <x:v>98</x:v>
      </x:c>
      <x:c r="C18" s="9" t="s">
        <x:v>99</x:v>
      </x:c>
      <x:c r="D18" s="9" t="s">
        <x:v>100</x:v>
      </x:c>
      <x:c r="E18" s="9" t="s">
        <x:v>101</x:v>
      </x:c>
      <x:c r="F18" s="9" t="s">
        <x:v>102</x:v>
      </x:c>
      <x:c r="G18" s="10" t="s">
        <x:v>80</x:v>
      </x:c>
      <x:c r="H18" s="10" t="s">
        <x:v>17</x:v>
      </x:c>
      <x:c r="I18" s="11" t="s">
        <x:v>18</x:v>
      </x:c>
      <x:c r="J18" s="9"/>
    </x:row>
    <x:row r="19" ht="22.5" customHeight="1">
      <x:c r="A19" s="9" t="s">
        <x:v>103</x:v>
      </x:c>
      <x:c r="B19" s="9" t="s">
        <x:v>98</x:v>
      </x:c>
      <x:c r="C19" s="9" t="s">
        <x:v>104</x:v>
      </x:c>
      <x:c r="D19" s="9" t="s">
        <x:v>105</x:v>
      </x:c>
      <x:c r="E19" s="9" t="s">
        <x:v>106</x:v>
      </x:c>
      <x:c r="F19" s="9" t="s">
        <x:v>107</x:v>
      </x:c>
      <x:c r="G19" s="10" t="s">
        <x:v>86</x:v>
      </x:c>
      <x:c r="H19" s="10" t="s">
        <x:v>17</x:v>
      </x:c>
      <x:c r="I19" s="11" t="s">
        <x:v>18</x:v>
      </x:c>
      <x:c r="J19" s="9"/>
    </x:row>
    <x:row r="20" ht="22.5" customHeight="1">
      <x:c r="A20" s="9" t="s">
        <x:v>108</x:v>
      </x:c>
      <x:c r="B20" s="9" t="s">
        <x:v>98</x:v>
      </x:c>
      <x:c r="C20" s="9" t="s">
        <x:v>109</x:v>
      </x:c>
      <x:c r="D20" s="9" t="s">
        <x:v>110</x:v>
      </x:c>
      <x:c r="E20" s="9" t="s">
        <x:v>111</x:v>
      </x:c>
      <x:c r="F20" s="9" t="s">
        <x:v>112</x:v>
      </x:c>
      <x:c r="G20" s="10" t="s">
        <x:v>80</x:v>
      </x:c>
      <x:c r="H20" s="10" t="s">
        <x:v>17</x:v>
      </x:c>
      <x:c r="I20" s="11" t="s">
        <x:v>18</x:v>
      </x:c>
      <x:c r="J20" s="9"/>
    </x:row>
    <x:row r="21" ht="15.75" customHeight="1">
      <x:c r="A21" s="9" t="s">
        <x:v>113</x:v>
      </x:c>
      <x:c r="B21" s="9" t="s">
        <x:v>114</x:v>
      </x:c>
      <x:c r="C21" s="9" t="s">
        <x:v>115</x:v>
      </x:c>
      <x:c r="D21" s="9" t="s">
        <x:v>116</x:v>
      </x:c>
      <x:c r="E21" s="9" t="s">
        <x:v>117</x:v>
      </x:c>
      <x:c r="F21" s="9" t="s">
        <x:v>118</x:v>
      </x:c>
      <x:c r="G21" s="10" t="s">
        <x:v>86</x:v>
      </x:c>
      <x:c r="H21" s="10" t="s">
        <x:v>17</x:v>
      </x:c>
      <x:c r="I21" s="11" t="s">
        <x:v>18</x:v>
      </x:c>
      <x:c r="J21" s="9"/>
    </x:row>
    <x:row r="22" ht="15.75" customHeight="1">
      <x:c r="A22" s="9" t="s">
        <x:v>119</x:v>
      </x:c>
      <x:c r="B22" s="9" t="s">
        <x:v>114</x:v>
      </x:c>
      <x:c r="C22" s="9" t="s">
        <x:v>120</x:v>
      </x:c>
      <x:c r="D22" s="9" t="s">
        <x:v>121</x:v>
      </x:c>
      <x:c r="E22" s="9" t="s">
        <x:v>122</x:v>
      </x:c>
      <x:c r="F22" s="9" t="s">
        <x:v>123</x:v>
      </x:c>
      <x:c r="G22" s="10" t="s">
        <x:v>16</x:v>
      </x:c>
      <x:c r="H22" s="10" t="s">
        <x:v>17</x:v>
      </x:c>
      <x:c r="I22" s="11" t="s">
        <x:v>18</x:v>
      </x:c>
      <x:c r="J22" s="9"/>
    </x:row>
    <x:row r="23" ht="15.75" customHeight="1">
      <x:c r="A23" s="9" t="s">
        <x:v>124</x:v>
      </x:c>
      <x:c r="B23" s="9" t="s">
        <x:v>114</x:v>
      </x:c>
      <x:c r="C23" s="9" t="s">
        <x:v>125</x:v>
      </x:c>
      <x:c r="D23" s="9" t="s">
        <x:v>121</x:v>
      </x:c>
      <x:c r="E23" s="9" t="s">
        <x:v>126</x:v>
      </x:c>
      <x:c r="F23" s="9" t="s">
        <x:v>127</x:v>
      </x:c>
      <x:c r="G23" s="10" t="s">
        <x:v>16</x:v>
      </x:c>
      <x:c r="H23" s="10" t="s">
        <x:v>17</x:v>
      </x:c>
      <x:c r="I23" s="11" t="s">
        <x:v>18</x:v>
      </x:c>
      <x:c r="J23" s="9"/>
    </x:row>
    <x:row r="24" ht="15.75" customHeight="1">
      <x:c r="A24" s="9" t="s">
        <x:v>128</x:v>
      </x:c>
      <x:c r="B24" s="9" t="s">
        <x:v>114</x:v>
      </x:c>
      <x:c r="C24" s="9" t="s">
        <x:v>129</x:v>
      </x:c>
      <x:c r="D24" s="9" t="s">
        <x:v>121</x:v>
      </x:c>
      <x:c r="E24" s="9" t="s">
        <x:v>130</x:v>
      </x:c>
      <x:c r="F24" s="9" t="s">
        <x:v>131</x:v>
      </x:c>
      <x:c r="G24" s="10" t="s">
        <x:v>16</x:v>
      </x:c>
      <x:c r="H24" s="10" t="s">
        <x:v>33</x:v>
      </x:c>
      <x:c r="I24" s="11" t="s">
        <x:v>18</x:v>
      </x:c>
      <x:c r="J24" s="9"/>
    </x:row>
    <x:row r="25" ht="15.75" customHeight="1">
      <x:c r="A25" s="9" t="s">
        <x:v>132</x:v>
      </x:c>
      <x:c r="B25" s="9" t="s">
        <x:v>133</x:v>
      </x:c>
      <x:c r="C25" s="9" t="s">
        <x:v>134</x:v>
      </x:c>
      <x:c r="D25" s="9" t="s">
        <x:v>135</x:v>
      </x:c>
      <x:c r="E25" s="9" t="s">
        <x:v>136</x:v>
      </x:c>
      <x:c r="F25" s="9" t="s">
        <x:v>137</x:v>
      </x:c>
      <x:c r="G25" s="10" t="s">
        <x:v>86</x:v>
      </x:c>
      <x:c r="H25" s="10" t="s">
        <x:v>17</x:v>
      </x:c>
      <x:c r="I25" s="11" t="s">
        <x:v>18</x:v>
      </x:c>
      <x:c r="J25" s="9"/>
    </x:row>
    <x:row r="26" ht="15.75" customHeight="1">
      <x:c r="A26" s="9" t="s">
        <x:v>138</x:v>
      </x:c>
      <x:c r="B26" s="9" t="s">
        <x:v>139</x:v>
      </x:c>
      <x:c r="C26" s="9" t="s">
        <x:v>140</x:v>
      </x:c>
      <x:c r="D26" s="9" t="s">
        <x:v>141</x:v>
      </x:c>
      <x:c r="E26" s="9" t="s">
        <x:v>142</x:v>
      </x:c>
      <x:c r="F26" s="9" t="s">
        <x:v>143</x:v>
      </x:c>
      <x:c r="G26" s="10" t="s">
        <x:v>16</x:v>
      </x:c>
      <x:c r="H26" s="10" t="s">
        <x:v>33</x:v>
      </x:c>
      <x:c r="I26" s="11" t="s">
        <x:v>18</x:v>
      </x:c>
      <x:c r="J26" s="9"/>
    </x:row>
    <x:row r="27" ht="15.75" customHeight="1">
      <x:c r="A27" s="9" t="s">
        <x:v>144</x:v>
      </x:c>
      <x:c r="B27" s="9" t="s">
        <x:v>139</x:v>
      </x:c>
      <x:c r="C27" s="9" t="s">
        <x:v>145</x:v>
      </x:c>
      <x:c r="D27" s="9" t="s">
        <x:v>146</x:v>
      </x:c>
      <x:c r="E27" s="9" t="s">
        <x:v>142</x:v>
      </x:c>
      <x:c r="F27" s="9" t="s">
        <x:v>147</x:v>
      </x:c>
      <x:c r="G27" s="10" t="s">
        <x:v>86</x:v>
      </x:c>
      <x:c r="H27" s="10" t="s">
        <x:v>33</x:v>
      </x:c>
      <x:c r="I27" s="11" t="s">
        <x:v>18</x:v>
      </x:c>
      <x:c r="J27" s="9"/>
    </x:row>
    <x:row r="28" ht="15.75" customHeight="1">
      <x:c r="A28" s="9" t="s">
        <x:v>148</x:v>
      </x:c>
      <x:c r="B28" s="9" t="s">
        <x:v>139</x:v>
      </x:c>
      <x:c r="C28" s="9" t="s">
        <x:v>149</x:v>
      </x:c>
      <x:c r="D28" s="9" t="s">
        <x:v>150</x:v>
      </x:c>
      <x:c r="E28" s="9" t="s">
        <x:v>151</x:v>
      </x:c>
      <x:c r="F28" s="9" t="s">
        <x:v>152</x:v>
      </x:c>
      <x:c r="G28" s="10" t="s">
        <x:v>16</x:v>
      </x:c>
      <x:c r="H28" s="10" t="s">
        <x:v>33</x:v>
      </x:c>
      <x:c r="I28" s="11" t="s">
        <x:v>18</x:v>
      </x:c>
      <x:c r="J28" s="9"/>
    </x:row>
    <x:row r="29" ht="15.75" customHeight="1">
      <x:c r="A29" s="9" t="s">
        <x:v>153</x:v>
      </x:c>
      <x:c r="B29" s="9" t="s">
        <x:v>139</x:v>
      </x:c>
      <x:c r="C29" s="9" t="s">
        <x:v>154</x:v>
      </x:c>
      <x:c r="D29" s="9" t="s">
        <x:v>155</x:v>
      </x:c>
      <x:c r="E29" s="9" t="s">
        <x:v>142</x:v>
      </x:c>
      <x:c r="F29" s="9" t="s">
        <x:v>156</x:v>
      </x:c>
      <x:c r="G29" s="10" t="s">
        <x:v>86</x:v>
      </x:c>
      <x:c r="H29" s="10" t="s">
        <x:v>17</x:v>
      </x:c>
      <x:c r="I29" s="11" t="s">
        <x:v>18</x:v>
      </x:c>
      <x:c r="J29" s="9"/>
    </x:row>
    <x:row r="30" ht="15.75" customHeight="1">
      <x:c r="A30" s="9" t="s">
        <x:v>157</x:v>
      </x:c>
      <x:c r="B30" s="9" t="s">
        <x:v>158</x:v>
      </x:c>
      <x:c r="C30" s="9" t="s">
        <x:v>159</x:v>
      </x:c>
      <x:c r="D30" s="9" t="s">
        <x:v>160</x:v>
      </x:c>
      <x:c r="E30" s="9" t="s">
        <x:v>161</x:v>
      </x:c>
      <x:c r="F30" s="9" t="s">
        <x:v>162</x:v>
      </x:c>
      <x:c r="G30" s="10" t="s">
        <x:v>80</x:v>
      </x:c>
      <x:c r="H30" s="10" t="s">
        <x:v>17</x:v>
      </x:c>
      <x:c r="I30" s="11" t="s">
        <x:v>18</x:v>
      </x:c>
      <x:c r="J30" s="9"/>
    </x:row>
    <x:row r="31" ht="15.75" customHeight="1">
      <x:c r="A31" s="9" t="s">
        <x:v>163</x:v>
      </x:c>
      <x:c r="B31" s="9" t="s">
        <x:v>158</x:v>
      </x:c>
      <x:c r="C31" s="9" t="s">
        <x:v>164</x:v>
      </x:c>
      <x:c r="D31" s="9" t="s">
        <x:v>160</x:v>
      </x:c>
      <x:c r="E31" s="9" t="s">
        <x:v>161</x:v>
      </x:c>
      <x:c r="F31" s="9" t="s">
        <x:v>165</x:v>
      </x:c>
      <x:c r="G31" s="10" t="s">
        <x:v>80</x:v>
      </x:c>
      <x:c r="H31" s="10" t="s">
        <x:v>17</x:v>
      </x:c>
      <x:c r="I31" s="11" t="s">
        <x:v>18</x:v>
      </x:c>
      <x:c r="J31" s="9"/>
    </x:row>
    <x:row r="32" ht="15.75" customHeight="1">
      <x:c r="A32" s="9" t="s">
        <x:v>166</x:v>
      </x:c>
      <x:c r="B32" s="9" t="s">
        <x:v>158</x:v>
      </x:c>
      <x:c r="C32" s="9" t="s">
        <x:v>167</x:v>
      </x:c>
      <x:c r="D32" s="9" t="s">
        <x:v>168</x:v>
      </x:c>
      <x:c r="E32" s="9" t="s">
        <x:v>161</x:v>
      </x:c>
      <x:c r="F32" s="9" t="s">
        <x:v>169</x:v>
      </x:c>
      <x:c r="G32" s="10" t="s">
        <x:v>86</x:v>
      </x:c>
      <x:c r="H32" s="10" t="s">
        <x:v>17</x:v>
      </x:c>
      <x:c r="I32" s="11" t="s">
        <x:v>18</x:v>
      </x:c>
      <x:c r="J32" s="9"/>
    </x:row>
    <x:row r="33" ht="15.75" customHeight="1">
      <x:c r="A33" s="9" t="s">
        <x:v>170</x:v>
      </x:c>
      <x:c r="B33" s="9" t="s">
        <x:v>158</x:v>
      </x:c>
      <x:c r="C33" s="9" t="s">
        <x:v>171</x:v>
      </x:c>
      <x:c r="D33" s="9" t="s">
        <x:v>172</x:v>
      </x:c>
      <x:c r="E33" s="9" t="s">
        <x:v>161</x:v>
      </x:c>
      <x:c r="F33" s="9" t="s">
        <x:v>173</x:v>
      </x:c>
      <x:c r="G33" s="10" t="s">
        <x:v>86</x:v>
      </x:c>
      <x:c r="H33" s="10" t="s">
        <x:v>17</x:v>
      </x:c>
      <x:c r="I33" s="11" t="s">
        <x:v>18</x:v>
      </x:c>
      <x:c r="J33" s="9"/>
    </x:row>
    <x:row r="34" ht="15.75" customHeight="1">
      <x:c r="A34" s="9" t="s">
        <x:v>174</x:v>
      </x:c>
      <x:c r="B34" s="9" t="s">
        <x:v>158</x:v>
      </x:c>
      <x:c r="C34" s="9" t="s">
        <x:v>175</x:v>
      </x:c>
      <x:c r="D34" s="9" t="s">
        <x:v>176</x:v>
      </x:c>
      <x:c r="E34" s="9" t="s">
        <x:v>161</x:v>
      </x:c>
      <x:c r="F34" s="9" t="s">
        <x:v>177</x:v>
      </x:c>
      <x:c r="G34" s="10" t="s">
        <x:v>16</x:v>
      </x:c>
      <x:c r="H34" s="10" t="s">
        <x:v>33</x:v>
      </x:c>
      <x:c r="I34" s="11" t="s">
        <x:v>18</x:v>
      </x:c>
      <x:c r="J34" s="9"/>
    </x:row>
    <x:row r="35" ht="15.75" customHeight="1">
      <x:c r="A35" s="9" t="s">
        <x:v>178</x:v>
      </x:c>
      <x:c r="B35" s="9" t="s">
        <x:v>158</x:v>
      </x:c>
      <x:c r="C35" s="9" t="s">
        <x:v>179</x:v>
      </x:c>
      <x:c r="D35" s="9" t="s">
        <x:v>160</x:v>
      </x:c>
      <x:c r="E35" s="9" t="s">
        <x:v>161</x:v>
      </x:c>
      <x:c r="F35" s="9" t="s">
        <x:v>180</x:v>
      </x:c>
      <x:c r="G35" s="10" t="s">
        <x:v>86</x:v>
      </x:c>
      <x:c r="H35" s="10" t="s">
        <x:v>33</x:v>
      </x:c>
      <x:c r="I35" s="11" t="str">
        <x:v>保留</x:v>
      </x:c>
      <x:c r="J35" s="9" t="str">
        <x:v>「どこいく？」の詳細集計は仕様検討・開発継続中。現時点では出発地点・移動時間・希望エリアの入力保持は確認できるが、エリア候補算出・詳細集計は本テストの完了対象外とする。</x:v>
      </x:c>
    </x:row>
    <x:row r="36" ht="15.75" customHeight="1">
      <x:c r="A36" s="9" t="s">
        <x:v>181</x:v>
      </x:c>
      <x:c r="B36" s="9" t="s">
        <x:v>182</x:v>
      </x:c>
      <x:c r="C36" s="9" t="s">
        <x:v>183</x:v>
      </x:c>
      <x:c r="D36" s="9" t="s">
        <x:v>184</x:v>
      </x:c>
      <x:c r="E36" s="9" t="s">
        <x:v>185</x:v>
      </x:c>
      <x:c r="F36" s="9" t="s">
        <x:v>186</x:v>
      </x:c>
      <x:c r="G36" s="10" t="s">
        <x:v>187</x:v>
      </x:c>
      <x:c r="H36" s="10" t="s">
        <x:v>17</x:v>
      </x:c>
      <x:c r="I36" s="12" t="s">
        <x:v>18</x:v>
      </x:c>
      <x:c r="J36" s="9"/>
    </x:row>
    <x:row r="37" ht="15.75" customHeight="1">
      <x:c r="A37" s="9" t="s">
        <x:v>188</x:v>
      </x:c>
      <x:c r="B37" s="9" t="s">
        <x:v>182</x:v>
      </x:c>
      <x:c r="C37" s="9" t="s">
        <x:v>189</x:v>
      </x:c>
      <x:c r="D37" s="9" t="s">
        <x:v>190</x:v>
      </x:c>
      <x:c r="E37" s="9" t="s">
        <x:v>191</x:v>
      </x:c>
      <x:c r="F37" s="9" t="s">
        <x:v>192</x:v>
      </x:c>
      <x:c r="G37" s="10" t="s">
        <x:v>187</x:v>
      </x:c>
      <x:c r="H37" s="10" t="s">
        <x:v>17</x:v>
      </x:c>
      <x:c r="I37" s="10" t="s">
        <x:v>193</x:v>
      </x:c>
      <x:c r="J37" s="9"/>
    </x:row>
    <x:row r="38" ht="15.75" customHeight="1">
      <x:c r="A38" s="9" t="s">
        <x:v>194</x:v>
      </x:c>
      <x:c r="B38" s="9" t="s">
        <x:v>182</x:v>
      </x:c>
      <x:c r="C38" s="9" t="s">
        <x:v>195</x:v>
      </x:c>
      <x:c r="D38" s="9" t="s">
        <x:v>196</x:v>
      </x:c>
      <x:c r="E38" s="9" t="s">
        <x:v>197</x:v>
      </x:c>
      <x:c r="F38" s="9" t="s">
        <x:v>198</x:v>
      </x:c>
      <x:c r="G38" s="10" t="s">
        <x:v>187</x:v>
      </x:c>
      <x:c r="H38" s="10" t="s">
        <x:v>17</x:v>
      </x:c>
      <x:c r="I38" s="10" t="s">
        <x:v>193</x:v>
      </x:c>
      <x:c r="J38" s="9"/>
    </x:row>
    <x:row r="39" ht="15.75" customHeight="1">
      <x:c r="A39" s="9" t="s">
        <x:v>199</x:v>
      </x:c>
      <x:c r="B39" s="9" t="s">
        <x:v>182</x:v>
      </x:c>
      <x:c r="C39" s="9" t="s">
        <x:v>200</x:v>
      </x:c>
      <x:c r="D39" s="9" t="s">
        <x:v>196</x:v>
      </x:c>
      <x:c r="E39" s="9" t="s">
        <x:v>201</x:v>
      </x:c>
      <x:c r="F39" s="9" t="s">
        <x:v>198</x:v>
      </x:c>
      <x:c r="G39" s="10" t="s">
        <x:v>187</x:v>
      </x:c>
      <x:c r="H39" s="10" t="s">
        <x:v>17</x:v>
      </x:c>
      <x:c r="I39" s="10" t="s">
        <x:v>193</x:v>
      </x:c>
      <x:c r="J39" s="9"/>
    </x:row>
    <x:row r="40" ht="15.75" customHeight="1">
      <x:c r="A40" s="9" t="s">
        <x:v>202</x:v>
      </x:c>
      <x:c r="B40" s="9" t="s">
        <x:v>182</x:v>
      </x:c>
      <x:c r="C40" s="9" t="s">
        <x:v>203</x:v>
      </x:c>
      <x:c r="D40" s="9" t="s">
        <x:v>204</x:v>
      </x:c>
      <x:c r="E40" s="9" t="s">
        <x:v>205</x:v>
      </x:c>
      <x:c r="F40" s="9" t="s">
        <x:v>206</x:v>
      </x:c>
      <x:c r="G40" s="10" t="s">
        <x:v>187</x:v>
      </x:c>
      <x:c r="H40" s="10" t="s">
        <x:v>17</x:v>
      </x:c>
      <x:c r="I40" s="10" t="s">
        <x:v>193</x:v>
      </x:c>
      <x:c r="J40" s="9"/>
    </x:row>
    <x:row r="41" ht="15.75" customHeight="1">
      <x:c r="A41" s="9" t="s">
        <x:v>207</x:v>
      </x:c>
      <x:c r="B41" s="9" t="s">
        <x:v>208</x:v>
      </x:c>
      <x:c r="C41" s="9" t="s">
        <x:v>209</x:v>
      </x:c>
      <x:c r="D41" s="9" t="s">
        <x:v>26</x:v>
      </x:c>
      <x:c r="E41" s="9" t="s">
        <x:v>210</x:v>
      </x:c>
      <x:c r="F41" s="9" t="s">
        <x:v>211</x:v>
      </x:c>
      <x:c r="G41" s="10" t="s">
        <x:v>16</x:v>
      </x:c>
      <x:c r="H41" s="10" t="s">
        <x:v>17</x:v>
      </x:c>
      <x:c r="I41" s="11" t="s">
        <x:v>18</x:v>
      </x:c>
      <x:c r="J41" s="9"/>
    </x:row>
    <x:row r="42" ht="15.75" customHeight="1">
      <x:c r="A42" s="9" t="s">
        <x:v>212</x:v>
      </x:c>
      <x:c r="B42" s="9" t="s">
        <x:v>208</x:v>
      </x:c>
      <x:c r="C42" s="9" t="s">
        <x:v>213</x:v>
      </x:c>
      <x:c r="D42" s="9" t="s">
        <x:v>214</x:v>
      </x:c>
      <x:c r="E42" s="9" t="s">
        <x:v>215</x:v>
      </x:c>
      <x:c r="F42" s="9" t="s">
        <x:v>216</x:v>
      </x:c>
      <x:c r="G42" s="10" t="s">
        <x:v>86</x:v>
      </x:c>
      <x:c r="H42" s="10" t="s">
        <x:v>17</x:v>
      </x:c>
      <x:c r="I42" s="11" t="s">
        <x:v>18</x:v>
      </x:c>
      <x:c r="J42" s="9"/>
    </x:row>
    <x:row r="43" ht="15.75" customHeight="1">
      <x:c r="A43" s="9" t="s">
        <x:v>217</x:v>
      </x:c>
      <x:c r="B43" s="9" t="s">
        <x:v>218</x:v>
      </x:c>
      <x:c r="C43" s="9" t="s">
        <x:v>219</x:v>
      </x:c>
      <x:c r="D43" s="9" t="s">
        <x:v>220</x:v>
      </x:c>
      <x:c r="E43" s="9" t="s">
        <x:v>221</x:v>
      </x:c>
      <x:c r="F43" s="9" t="s">
        <x:v>222</x:v>
      </x:c>
      <x:c r="G43" s="10" t="s">
        <x:v>16</x:v>
      </x:c>
      <x:c r="H43" s="10" t="s">
        <x:v>33</x:v>
      </x:c>
      <x:c r="I43" s="11" t="s">
        <x:v>18</x:v>
      </x:c>
      <x:c r="J43" s="9"/>
    </x:row>
    <x:row r="44" ht="15.75" customHeight="1">
      <x:c r="A44" s="9" t="s">
        <x:v>223</x:v>
      </x:c>
      <x:c r="B44" s="9" t="s">
        <x:v>218</x:v>
      </x:c>
      <x:c r="C44" s="9" t="s">
        <x:v>224</x:v>
      </x:c>
      <x:c r="D44" s="9" t="s">
        <x:v>225</x:v>
      </x:c>
      <x:c r="E44" s="9" t="s">
        <x:v>226</x:v>
      </x:c>
      <x:c r="F44" s="9" t="s">
        <x:v>227</x:v>
      </x:c>
      <x:c r="G44" s="10" t="s">
        <x:v>86</x:v>
      </x:c>
      <x:c r="H44" s="10" t="s">
        <x:v>33</x:v>
      </x:c>
      <x:c r="I44" s="11" t="s">
        <x:v>18</x:v>
      </x:c>
      <x:c r="J44" s="9"/>
    </x:row>
    <x:row r="45" ht="15.75" customHeight="1">
      <x:c r="A45" s="9" t="s">
        <x:v>228</x:v>
      </x:c>
      <x:c r="B45" s="9" t="s">
        <x:v>229</x:v>
      </x:c>
      <x:c r="C45" s="9" t="s">
        <x:v>230</x:v>
      </x:c>
      <x:c r="D45" s="9" t="s">
        <x:v>94</x:v>
      </x:c>
      <x:c r="E45" s="9" t="s">
        <x:v>231</x:v>
      </x:c>
      <x:c r="F45" s="9" t="s">
        <x:v>232</x:v>
      </x:c>
      <x:c r="G45" s="10" t="s">
        <x:v>16</x:v>
      </x:c>
      <x:c r="H45" s="10" t="s">
        <x:v>33</x:v>
      </x:c>
      <x:c r="I45" s="11" t="s">
        <x:v>18</x:v>
      </x:c>
      <x:c r="J45" s="9"/>
    </x:row>
    <x:row r="46" ht="15.75" customHeight="1">
      <x:c r="A46" s="9" t="s">
        <x:v>233</x:v>
      </x:c>
      <x:c r="B46" s="9" t="s">
        <x:v>229</x:v>
      </x:c>
      <x:c r="C46" s="9" t="s">
        <x:v>234</x:v>
      </x:c>
      <x:c r="D46" s="9" t="s">
        <x:v>235</x:v>
      </x:c>
      <x:c r="E46" s="9" t="s">
        <x:v>236</x:v>
      </x:c>
      <x:c r="F46" s="9" t="s">
        <x:v>237</x:v>
      </x:c>
      <x:c r="G46" s="10" t="s">
        <x:v>16</x:v>
      </x:c>
      <x:c r="H46" s="10" t="s">
        <x:v>33</x:v>
      </x:c>
      <x:c r="I46" s="11" t="s">
        <x:v>18</x:v>
      </x:c>
      <x:c r="J46" s="9"/>
    </x:row>
    <x:row r="47" ht="15.75" customHeight="1">
      <x:c r="A47" s="9" t="s">
        <x:v>238</x:v>
      </x:c>
      <x:c r="B47" s="9" t="s">
        <x:v>229</x:v>
      </x:c>
      <x:c r="C47" s="9" t="s">
        <x:v>239</x:v>
      </x:c>
      <x:c r="D47" s="9" t="s">
        <x:v>240</x:v>
      </x:c>
      <x:c r="E47" s="9" t="s">
        <x:v>241</x:v>
      </x:c>
      <x:c r="F47" s="9" t="s">
        <x:v>242</x:v>
      </x:c>
      <x:c r="G47" s="10" t="s">
        <x:v>16</x:v>
      </x:c>
      <x:c r="H47" s="10" t="s">
        <x:v>243</x:v>
      </x:c>
      <x:c r="I47" s="10" t="s">
        <x:v>193</x:v>
      </x:c>
      <x:c r="J47" s="9"/>
    </x:row>
    <x:row r="48" ht="15.75" customHeight="1">
      <x:c r="A48" s="9" t="s">
        <x:v>244</x:v>
      </x:c>
      <x:c r="B48" s="9" t="s">
        <x:v>245</x:v>
      </x:c>
      <x:c r="C48" s="9" t="s">
        <x:v>246</x:v>
      </x:c>
      <x:c r="D48" s="9" t="s">
        <x:v>247</x:v>
      </x:c>
      <x:c r="E48" s="9" t="s">
        <x:v>248</x:v>
      </x:c>
      <x:c r="F48" s="9" t="s">
        <x:v>249</x:v>
      </x:c>
      <x:c r="G48" s="10" t="s">
        <x:v>16</x:v>
      </x:c>
      <x:c r="H48" s="10" t="s">
        <x:v>17</x:v>
      </x:c>
      <x:c r="I48" s="11" t="s">
        <x:v>18</x:v>
      </x:c>
      <x:c r="J48" s="9"/>
    </x:row>
    <x:row r="49" ht="15.75" customHeight="1">
      <x:c r="A49" s="9" t="s">
        <x:v>250</x:v>
      </x:c>
      <x:c r="B49" s="9" t="s">
        <x:v>245</x:v>
      </x:c>
      <x:c r="C49" s="9" t="s">
        <x:v>251</x:v>
      </x:c>
      <x:c r="D49" s="9" t="s">
        <x:v>247</x:v>
      </x:c>
      <x:c r="E49" s="9" t="s">
        <x:v>252</x:v>
      </x:c>
      <x:c r="F49" s="9" t="s">
        <x:v>253</x:v>
      </x:c>
      <x:c r="G49" s="10" t="s">
        <x:v>16</x:v>
      </x:c>
      <x:c r="H49" s="10" t="s">
        <x:v>17</x:v>
      </x:c>
      <x:c r="I49" s="11" t="s">
        <x:v>18</x:v>
      </x:c>
      <x:c r="J49" s="9"/>
    </x:row>
    <x:row r="50" ht="15.75" customHeight="1">
      <x:c r="A50" s="9" t="s">
        <x:v>254</x:v>
      </x:c>
      <x:c r="B50" s="9" t="s">
        <x:v>245</x:v>
      </x:c>
      <x:c r="C50" s="9" t="s">
        <x:v>255</x:v>
      </x:c>
      <x:c r="D50" s="9" t="s">
        <x:v>121</x:v>
      </x:c>
      <x:c r="E50" s="9" t="s">
        <x:v>256</x:v>
      </x:c>
      <x:c r="F50" s="9" t="s">
        <x:v>257</x:v>
      </x:c>
      <x:c r="G50" s="10" t="s">
        <x:v>16</x:v>
      </x:c>
      <x:c r="H50" s="10" t="s">
        <x:v>33</x:v>
      </x:c>
      <x:c r="I50" s="10" t="s">
        <x:v>193</x:v>
      </x:c>
      <x:c r="J50" s="9"/>
    </x:row>
    <x:row r="51" ht="15.75" customHeight="1">
      <x:c r="A51" s="9" t="s">
        <x:v>258</x:v>
      </x:c>
      <x:c r="B51" s="9" t="s">
        <x:v>259</x:v>
      </x:c>
      <x:c r="C51" s="9" t="s">
        <x:v>260</x:v>
      </x:c>
      <x:c r="D51" s="9" t="s">
        <x:v>261</x:v>
      </x:c>
      <x:c r="E51" s="9" t="s">
        <x:v>262</x:v>
      </x:c>
      <x:c r="F51" s="9" t="s">
        <x:v>263</x:v>
      </x:c>
      <x:c r="G51" s="10" t="s">
        <x:v>86</x:v>
      </x:c>
      <x:c r="H51" s="10" t="s">
        <x:v>33</x:v>
      </x:c>
      <x:c r="I51" s="10" t="s">
        <x:v>193</x:v>
      </x:c>
      <x:c r="J51" s="9"/>
    </x:row>
    <x:row r="52" ht="15.75" customHeight="1">
      <x:c r="A52" s="9" t="s">
        <x:v>264</x:v>
      </x:c>
      <x:c r="B52" s="9" t="s">
        <x:v>259</x:v>
      </x:c>
      <x:c r="C52" s="9" t="s">
        <x:v>265</x:v>
      </x:c>
      <x:c r="D52" s="9" t="s">
        <x:v>94</x:v>
      </x:c>
      <x:c r="E52" s="9" t="s">
        <x:v>266</x:v>
      </x:c>
      <x:c r="F52" s="9" t="s">
        <x:v>267</x:v>
      </x:c>
      <x:c r="G52" s="10" t="s">
        <x:v>16</x:v>
      </x:c>
      <x:c r="H52" s="10" t="s">
        <x:v>33</x:v>
      </x:c>
      <x:c r="I52" s="11" t="s">
        <x:v>18</x:v>
      </x:c>
      <x:c r="J52" s="9"/>
    </x:row>
    <x:row r="53" ht="15.75" customHeight="1">
      <x:c r="A53" s="9" t="s">
        <x:v>268</x:v>
      </x:c>
      <x:c r="B53" s="9" t="s">
        <x:v>259</x:v>
      </x:c>
      <x:c r="C53" s="9" t="s">
        <x:v>269</x:v>
      </x:c>
      <x:c r="D53" s="9" t="s">
        <x:v>270</x:v>
      </x:c>
      <x:c r="E53" s="9" t="s">
        <x:v>271</x:v>
      </x:c>
      <x:c r="F53" s="9" t="s">
        <x:v>272</x:v>
      </x:c>
      <x:c r="G53" s="10" t="s">
        <x:v>86</x:v>
      </x:c>
      <x:c r="H53" s="10" t="s">
        <x:v>33</x:v>
      </x:c>
      <x:c r="I53" s="11" t="s">
        <x:v>18</x:v>
      </x:c>
      <x:c r="J53" s="9"/>
    </x:row>
    <x:row r="54" ht="15.75" customHeight="1">
      <x:c r="A54" s="9" t="s">
        <x:v>273</x:v>
      </x:c>
      <x:c r="B54" s="9" t="s">
        <x:v>274</x:v>
      </x:c>
      <x:c r="C54" s="9" t="s">
        <x:v>275</x:v>
      </x:c>
      <x:c r="D54" s="9" t="s">
        <x:v>276</x:v>
      </x:c>
      <x:c r="E54" s="9" t="s">
        <x:v>277</x:v>
      </x:c>
      <x:c r="F54" s="9" t="s">
        <x:v>278</x:v>
      </x:c>
      <x:c r="G54" s="10" t="s">
        <x:v>16</x:v>
      </x:c>
      <x:c r="H54" s="10" t="s">
        <x:v>17</x:v>
      </x:c>
      <x:c r="I54" s="10" t="s">
        <x:v>193</x:v>
      </x:c>
      <x:c r="J54" s="9"/>
    </x:row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I2:I54">
    <x:cfRule type="expression" dxfId="5" priority="1">
      <x:formula>I2="OK"</x:formula>
    </x:cfRule>
  </x:conditionalFormatting>
  <x:conditionalFormatting sqref="I2:I54">
    <x:cfRule type="expression" dxfId="6" priority="2">
      <x:formula>I2="NG"</x:formula>
    </x:cfRule>
  </x:conditionalFormatting>
  <x:conditionalFormatting sqref="I2:I54">
    <x:cfRule type="expression" dxfId="7" priority="3">
      <x:formula>I2="保留"</x:formula>
    </x:cfRule>
  </x:conditionalFormatting>
  <x:dataValidations count="3">
    <x:dataValidation type="list" allowBlank="1" showDropDown="1" showErrorMessage="1" sqref="G2:G54">
      <x:formula1>"デプロイ前,デプロイ後・複数ユーザー必須,デプロイ後,デプロイ後・必須"</x:formula1>
    </x:dataValidation>
    <x:dataValidation type="list" allowBlank="1" sqref="I2:I54">
      <x:formula1>"未実施,OK,NG,保留"</x:formula1>
    </x:dataValidation>
    <x:dataValidation type="list" allowBlank="1" showDropDown="1" showErrorMessage="1" sqref="H2:H54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038160811d438a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.75" customWidth="1"/>
    <x:col min="2" max="2" width="19.6299991607666" customWidth="1"/>
    <x:col min="3" max="5" width="32.380001068115234" customWidth="1"/>
    <x:col min="7" max="7" width="32.380001068115234" customWidth="1"/>
    <x:col min="9" max="9" width="101.25" customWidth="1"/>
  </x:cols>
  <x:sheetData>
    <x:row r="1">
      <x:c r="A1" s="1" t="s">
        <x:v>0</x:v>
      </x:c>
      <x:c r="B1" s="3" t="s">
        <x:v>279</x:v>
      </x:c>
      <x:c r="C1" s="3" t="s">
        <x:v>280</x:v>
      </x:c>
      <x:c r="D1" s="3" t="s">
        <x:v>281</x:v>
      </x:c>
      <x:c r="E1" s="1" t="s">
        <x:v>4</x:v>
      </x:c>
      <x:c r="F1" s="1" t="s">
        <x:v>5</x:v>
      </x:c>
      <x:c r="G1" s="3" t="s">
        <x:v>282</x:v>
      </x:c>
      <x:c r="H1" s="3" t="s">
        <x:v>283</x:v>
      </x:c>
      <x:c r="I1" s="3" t="s">
        <x:v>9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>
      <x:c r="A2" s="7" t="s">
        <x:v>284</x:v>
      </x:c>
      <x:c r="B2" s="7" t="s">
        <x:v>285</x:v>
      </x:c>
      <x:c r="C2" s="7" t="s">
        <x:v>286</x:v>
      </x:c>
      <x:c r="D2" s="7" t="str">
        <x:v>schedulesのSELECT RLSがmemberのみ許可しており、予定作成直後は作成者本人のmembers登録前のため、INSERT後のSELECTがRLSで拒否された。</x:v>
      </x:c>
      <x:c r="E2" s="7" t="str">
        <x:v>表示名設定済みの新規ユーザーで予定を新規作成。予定名・候補期間・メモを入力し「予定を作成」を押下すると、schedules INSERT後の取得処理で403（42501）が発生。</x:v>
      </x:c>
      <x:c r="F2" s="7" t="s">
        <x:v>287</x:v>
      </x:c>
      <x:c r="G2" s="7" t="s">
        <x:v>288</x:v>
      </x:c>
      <x:c r="H2" s="7" t="s">
        <x:v>289</x:v>
      </x:c>
      <x:c r="I2" s="7" t="str">
        <x:v>エラー: 42501 / new row violates row-level security policy for table "schedules"
修正SQL:
drop policy if exists "allow members read schedules" on public.schedules;
create policy "allow members or creator read schedules"
on public.schedules
for select
to authenticated
using (
  created_by = auth.uid()::text
  or public.is_schedule_member(id)
);
Vercel本番環境で再テストし、予定作成→回答画面遷移まで正常化を確認。</x:v>
      </x:c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0" customWidth="1"/>
    <x:col min="2" max="2" width="70" customWidth="1"/>
    <x:col min="3" max="26" width="8.630000114440918" customWidth="1"/>
  </x:cols>
  <x:sheetData>
    <x:row r="1">
      <x:c r="A1" s="2" t="s">
        <x:v>290</x:v>
      </x:c>
    </x:row>
    <x:row r="3">
      <x:c r="A3" s="4" t="s">
        <x:v>291</x:v>
      </x:c>
      <x:c r="B3" s="4" t="s">
        <x:v>292</x:v>
      </x:c>
    </x:row>
    <x:row r="4">
      <x:c r="A4" s="5" t="s">
        <x:v>293</x:v>
      </x:c>
      <x:c r="B4" s="5" t="s">
        <x:v>294</x:v>
      </x:c>
    </x:row>
    <x:row r="5">
      <x:c r="A5" s="5" t="s">
        <x:v>16</x:v>
      </x:c>
      <x:c r="B5" s="5" t="s">
        <x:v>295</x:v>
      </x:c>
    </x:row>
    <x:row r="6">
      <x:c r="A6" s="5" t="s">
        <x:v>86</x:v>
      </x:c>
      <x:c r="B6" s="5" t="s">
        <x:v>296</x:v>
      </x:c>
    </x:row>
    <x:row r="7">
      <x:c r="A7" s="5" t="s">
        <x:v>8</x:v>
      </x:c>
      <x:c r="B7" s="5" t="s">
        <x:v>297</x:v>
      </x:c>
    </x:row>
    <x:row r="8">
      <x:c r="A8" s="5" t="s">
        <x:v>298</x:v>
      </x:c>
      <x:c r="B8" s="5" t="s">
        <x:v>299</x:v>
      </x:c>
    </x:row>
    <x:row r="9">
      <x:c r="A9" s="5" t="s">
        <x:v>300</x:v>
      </x:c>
      <x:c r="B9" s="5" t="s">
        <x:v>301</x:v>
      </x:c>
    </x:row>
    <x:row r="11">
      <x:c r="A11" s="24" t="str">
        <x:v>現在の公開環境</x:v>
      </x:c>
      <x:c r="B11" s="25" t="str">
        <x:v>Vercel（Production）</x:v>
      </x:c>
    </x:row>
    <x:row r="12">
      <x:c r="A12" s="24" t="str">
        <x:v>データ基盤</x:v>
      </x:c>
      <x:c r="B12" s="25" t="str">
        <x:v>Supabase / PostgreSQL / Anonymous Auth / RLS / RPC</x:v>
      </x:c>
    </x:row>
    <x:row r="13">
      <x:c r="A13" s="24" t="str">
        <x:v>本番確認済み</x:v>
      </x:c>
      <x:c r="B13" s="25" t="str">
        <x:v>予定作成、招待、別ユーザー参加、回答、回答変更、集計、リロード、直接URL、不正招待コード、重複参加、存在しない予定URL</x:v>
      </x:c>
    </x:row>
    <x:row r="14">
      <x:c r="A14" s="24" t="str">
        <x:v>未完了の主な確認</x:v>
      </x:c>
      <x:c r="B14" s="25" t="str">
        <x:v>RLS低レベル逆向きテスト（TC-036〜039）、通信失敗、長文入力、一部UI、UI_TEST_DATASET_V2回帰</x:v>
      </x:c>
    </x:row>
    <x:row r="15">
      <x:c r="A15" s="24" t="str">
        <x:v>仕様継続中</x:v>
      </x:c>
      <x:c r="B15" s="25" t="str">
        <x:v>「どこいく？」の詳細集計・エリア候補算出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24" hidden="0" customWidth="1"/>
    <x:col min="5" max="5" width="14" hidden="0" customWidth="1"/>
    <x:col min="6" max="6" width="14" hidden="0" customWidth="1"/>
  </x:cols>
  <x:sheetData>
    <x:row r="1">
      <x:c r="A1" s="29" t="str">
        <x:v>総合テスト サマリー</x:v>
      </x:c>
      <x:c r="B1" s="29"/>
      <x:c r="C1" s="29"/>
      <x:c r="D1" s="29"/>
      <x:c r="E1" s="29"/>
      <x:c r="F1" s="29"/>
    </x:row>
    <x:row r="3">
      <x:c r="A3" s="24" t="str">
        <x:v>指標</x:v>
      </x:c>
      <x:c r="B3" s="24" t="str">
        <x:v>件数</x:v>
      </x:c>
      <x:c r="D3" s="24" t="str">
        <x:v>優先度</x:v>
      </x:c>
      <x:c r="E3" s="24" t="str">
        <x:v>未完了件数</x:v>
      </x:c>
    </x:row>
    <x:row r="4">
      <x:c r="A4" s="25" t="str">
        <x:v>総テストケース</x:v>
      </x:c>
      <x:c r="B4" s="25" t="n">
        <x:f>COUNTA('総合テストケース'!A2:A54)</x:f>
        <x:v>53</x:v>
      </x:c>
      <x:c r="D4" s="25" t="str">
        <x:v>高</x:v>
      </x:c>
      <x:c r="E4" s="25" t="n">
        <x:f>COUNTIFS('総合テストケース'!H2:H54,"高",'総合テストケース'!I2:I54,"&lt;&gt;OK")</x:f>
        <x:v>5</x:v>
      </x:c>
    </x:row>
    <x:row r="5">
      <x:c r="A5" s="25" t="str">
        <x:v>OK</x:v>
      </x:c>
      <x:c r="B5" s="25" t="n">
        <x:f>COUNTIF('総合テストケース'!I2:I54,"OK")</x:f>
        <x:v>44</x:v>
      </x:c>
      <x:c r="D5" s="25" t="str">
        <x:v>中</x:v>
      </x:c>
      <x:c r="E5" s="25" t="n">
        <x:f>COUNTIFS('総合テストケース'!H2:H54,"中",'総合テストケース'!I2:I54,"&lt;&gt;OK")</x:f>
        <x:v>3</x:v>
      </x:c>
    </x:row>
    <x:row r="6">
      <x:c r="A6" s="25" t="str">
        <x:v>NG</x:v>
      </x:c>
      <x:c r="B6" s="25" t="n">
        <x:f>COUNTIF('総合テストケース'!I2:I54,"NG")</x:f>
        <x:v>0</x:v>
      </x:c>
      <x:c r="D6" s="25" t="str">
        <x:v>低</x:v>
      </x:c>
      <x:c r="E6" s="25" t="n">
        <x:f>COUNTIFS('総合テストケース'!H2:H54,"低",'総合テストケース'!I2:I54,"&lt;&gt;OK")</x:f>
        <x:v>1</x:v>
      </x:c>
    </x:row>
    <x:row r="7">
      <x:c r="A7" s="25" t="str">
        <x:v>保留</x:v>
      </x:c>
      <x:c r="B7" s="25" t="n">
        <x:f>COUNTIF('総合テストケース'!I2:I54,"保留")</x:f>
        <x:v>1</x:v>
      </x:c>
      <x:c r="D7" s="25" t="str">
        <x:v>不具合（解消済）</x:v>
      </x:c>
      <x:c r="E7" s="25" t="n">
        <x:f>COUNTIF('不具合管理'!H2:H100,"解消")</x:f>
        <x:v>1</x:v>
      </x:c>
    </x:row>
    <x:row r="8">
      <x:c r="A8" s="25" t="str">
        <x:v>未実施</x:v>
      </x:c>
      <x:c r="B8" s="25" t="n">
        <x:f>COUNTIF('総合テストケース'!I2:I54,"未実施")</x:f>
        <x:v>8</x:v>
      </x:c>
    </x:row>
    <x:row r="10">
      <x:c r="A10" s="30" t="str">
        <x:v>現在地</x:v>
      </x:c>
      <x:c r="B10" s="30"/>
      <x:c r="C10" s="30"/>
      <x:c r="D10" s="30"/>
      <x:c r="E10" s="30"/>
      <x:c r="F10" s="30"/>
    </x:row>
    <x:row r="11">
      <x:c r="A11" s="31" t="str">
        <x:v>Vercel本番環境で主要ユーザーフローのスモークテストを実施済み。予定作成時にRLS不整合（BUG0827-001）を検出し、schedules SELECTを「member または作成者本人」に修正して再テスト済み。今後はRLSの低レベル逆向きテスト、通信失敗などの異常系、「どこいく？」詳細集計の仕様確定後の追加テストを行う。</x:v>
      </x:c>
      <x:c r="B11" s="31"/>
      <x:c r="C11" s="31"/>
      <x:c r="D11" s="31"/>
      <x:c r="E11" s="31"/>
      <x:c r="F11" s="31"/>
    </x:row>
    <x:row r="12">
      <x:c r="A12" s="31"/>
      <x:c r="B12" s="31"/>
      <x:c r="C12" s="31"/>
      <x:c r="D12" s="31"/>
      <x:c r="E12" s="31"/>
      <x:c r="F12" s="31"/>
    </x:row>
    <x:row r="13">
      <x:c r="A13" s="31"/>
      <x:c r="B13" s="31"/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</x:sheetData>
  <x:mergeCells>
    <x:mergeCell ref="A1:F1"/>
    <x:mergeCell ref="A10:F10"/>
    <x:mergeCell ref="A11:F15"/>
  </x:mergeCells>
  <x:conditionalFormatting sqref="B5:B5">
    <x:cfRule type="expression" dxfId="8" priority="1">
      <x:formula>B5&gt;0</x:formula>
    </x:cfRule>
  </x:conditionalFormatting>
  <x:conditionalFormatting sqref="B6:B6">
    <x:cfRule type="expression" dxfId="9" priority="2">
      <x:formula>B6&gt;0</x:formula>
    </x:cfRule>
  </x:conditionalFormatting>
  <x:conditionalFormatting sqref="B7:B7">
    <x:cfRule type="expression" dxfId="10" priority="3">
      <x:formula>B7&gt;0</x:formula>
    </x:cfRule>
  </x:conditionalFormatting>
  <x:conditionalFormatting sqref="B8:B8">
    <x:cfRule type="expression" dxfId="11" priority="4">
      <x:formula>B8&gt;0</x:formula>
    </x:cfRule>
  </x:conditionalFormatting>
  <x:pageMargins left="0.7" right="0.7" top="0.75" bottom="0.75" header="0.3" footer="0.3"/>
</x:worksheet>
</file>